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35B7AE8-1C41-45A9-8CD8-B4802D88424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_Ventas" sheetId="1" r:id="rId1"/>
    <sheet name="Análisis_IA" sheetId="2" r:id="rId2"/>
    <sheet name="Documentación" sheetId="4" r:id="rId3"/>
    <sheet name="Promedio de precio unitario" sheetId="5" r:id="rId4"/>
    <sheet name="Grafica con IA" sheetId="6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6" l="1"/>
  <c r="C8" i="6"/>
  <c r="C9" i="6"/>
  <c r="E9" i="6"/>
  <c r="E7" i="6"/>
  <c r="D9" i="6"/>
  <c r="E8" i="6"/>
  <c r="D8" i="6"/>
  <c r="D7" i="6"/>
</calcChain>
</file>

<file path=xl/sharedStrings.xml><?xml version="1.0" encoding="utf-8"?>
<sst xmlns="http://schemas.openxmlformats.org/spreadsheetml/2006/main" count="454" uniqueCount="150">
  <si>
    <t>Fecha</t>
  </si>
  <si>
    <t>Producto</t>
  </si>
  <si>
    <t>Categoría</t>
  </si>
  <si>
    <t>Unidades</t>
  </si>
  <si>
    <t>Precio_Unitario</t>
  </si>
  <si>
    <t>Venta_Total</t>
  </si>
  <si>
    <t>Región</t>
  </si>
  <si>
    <t>2025-08-02</t>
  </si>
  <si>
    <t>Botella Térmica</t>
  </si>
  <si>
    <t>Accesorios</t>
  </si>
  <si>
    <t>Norte</t>
  </si>
  <si>
    <t>2025-08-24</t>
  </si>
  <si>
    <t>Escritorio</t>
  </si>
  <si>
    <t>Muebles</t>
  </si>
  <si>
    <t>Oeste</t>
  </si>
  <si>
    <t>2025-08-14</t>
  </si>
  <si>
    <t>Sur</t>
  </si>
  <si>
    <t>2025-08-03</t>
  </si>
  <si>
    <t>Silla Ergonómica</t>
  </si>
  <si>
    <t>Centro</t>
  </si>
  <si>
    <t>2025-08-19</t>
  </si>
  <si>
    <t>Monitor 24"</t>
  </si>
  <si>
    <t>Electrónica</t>
  </si>
  <si>
    <t>2025-08-21</t>
  </si>
  <si>
    <t>Lámpara LED</t>
  </si>
  <si>
    <t>2025-08-13</t>
  </si>
  <si>
    <t>Este</t>
  </si>
  <si>
    <t>Laptop Pro</t>
  </si>
  <si>
    <t>2025-08-04</t>
  </si>
  <si>
    <t>Mouse Inalámbrico</t>
  </si>
  <si>
    <t>2025-08-17</t>
  </si>
  <si>
    <t>Mochila Ejecutiva</t>
  </si>
  <si>
    <t>2025-08-26</t>
  </si>
  <si>
    <t>2025-08-22</t>
  </si>
  <si>
    <t>Auriculares BT</t>
  </si>
  <si>
    <t>2025-08-07</t>
  </si>
  <si>
    <t>2025-08-11</t>
  </si>
  <si>
    <t>2025-09-04</t>
  </si>
  <si>
    <t>2025-09-25</t>
  </si>
  <si>
    <t>2025-09-19</t>
  </si>
  <si>
    <t>2025-09-07</t>
  </si>
  <si>
    <t>Teclado Mecánico</t>
  </si>
  <si>
    <t>2025-09-28</t>
  </si>
  <si>
    <t>2025-09-22</t>
  </si>
  <si>
    <t>2025-09-09</t>
  </si>
  <si>
    <t>2025-09-03</t>
  </si>
  <si>
    <t>2025-09-10</t>
  </si>
  <si>
    <t>2025-09-24</t>
  </si>
  <si>
    <t>2025-09-05</t>
  </si>
  <si>
    <t>2025-09-15</t>
  </si>
  <si>
    <t>2025-10-28</t>
  </si>
  <si>
    <t>2025-10-08</t>
  </si>
  <si>
    <t>2025-10-14</t>
  </si>
  <si>
    <t>2025-10-21</t>
  </si>
  <si>
    <t>2025-10-09</t>
  </si>
  <si>
    <t>2025-10-01</t>
  </si>
  <si>
    <t>2025-10-16</t>
  </si>
  <si>
    <t>2025-10-25</t>
  </si>
  <si>
    <t>2025-10-24</t>
  </si>
  <si>
    <t>2025-10-22</t>
  </si>
  <si>
    <t>2025-10-02</t>
  </si>
  <si>
    <t>2025-11-06</t>
  </si>
  <si>
    <t>2025-11-14</t>
  </si>
  <si>
    <t>2025-11-16</t>
  </si>
  <si>
    <t>2025-11-22</t>
  </si>
  <si>
    <t>2025-11-02</t>
  </si>
  <si>
    <t>2025-11-01</t>
  </si>
  <si>
    <t>2025-11-21</t>
  </si>
  <si>
    <t>2025-11-24</t>
  </si>
  <si>
    <t>2025-11-11</t>
  </si>
  <si>
    <t>2025-11-04</t>
  </si>
  <si>
    <t>2025-11-27</t>
  </si>
  <si>
    <t>2025-11-07</t>
  </si>
  <si>
    <t>2025-10-31</t>
  </si>
  <si>
    <t>2025-11-20</t>
  </si>
  <si>
    <t>2025-12-10</t>
  </si>
  <si>
    <t>2025-12-21</t>
  </si>
  <si>
    <t>2025-12-24</t>
  </si>
  <si>
    <t>2025-12-03</t>
  </si>
  <si>
    <t>2025-12-08</t>
  </si>
  <si>
    <t>2025-12-02</t>
  </si>
  <si>
    <t>2025-12-05</t>
  </si>
  <si>
    <t>2025-12-26</t>
  </si>
  <si>
    <t>2025-12-15</t>
  </si>
  <si>
    <t>2025-12-25</t>
  </si>
  <si>
    <t>2025-12-11</t>
  </si>
  <si>
    <t>2026-01-09</t>
  </si>
  <si>
    <t>2026-01-21</t>
  </si>
  <si>
    <t>2026-01-15</t>
  </si>
  <si>
    <t>2026-01-06</t>
  </si>
  <si>
    <t>2026-01-02</t>
  </si>
  <si>
    <t>2026-01-03</t>
  </si>
  <si>
    <t>2026-01-22</t>
  </si>
  <si>
    <t>2026-01-26</t>
  </si>
  <si>
    <t>2026-01-05</t>
  </si>
  <si>
    <t>2026-01-12</t>
  </si>
  <si>
    <t>2026-01-10</t>
  </si>
  <si>
    <t>2026-01-04</t>
  </si>
  <si>
    <t>2026-01-14</t>
  </si>
  <si>
    <t>ANÁLISIS DE VENTAS CON IA</t>
  </si>
  <si>
    <t>DOCUMENTACIÓN DEL PROYECTO</t>
  </si>
  <si>
    <t>TEMA ELEGIDO:</t>
  </si>
  <si>
    <t>Análisis de Ventas Mensuales con Proyecciones IA</t>
  </si>
  <si>
    <t>PREGUNTA CLAVE:</t>
  </si>
  <si>
    <t>FUENTE DE DATOS:</t>
  </si>
  <si>
    <t>Datos sintéticos generados de ventas de tienda online (100 registros)</t>
  </si>
  <si>
    <t>- Periodo: Agosto 2025 - Enero 2026 (6 meses históricos)</t>
  </si>
  <si>
    <t>- Variables: Fecha, Producto, Categoría, Unidades, Precio, Región</t>
  </si>
  <si>
    <t>HERRAMIENTAS IA USADAS:</t>
  </si>
  <si>
    <t>CONCLUSIONES:</t>
  </si>
  <si>
    <t>✓ Los productos de Electrónica representan el 60% de ventas</t>
  </si>
  <si>
    <t>✓ Se observa crecimiento sostenido del 5% mensual</t>
  </si>
  <si>
    <t>✓ La región Centro tiene mejor desempeño</t>
  </si>
  <si>
    <t>RECOMENDACIONES:</t>
  </si>
  <si>
    <t>→ Incrementar inventario de electrónica para Q1</t>
  </si>
  <si>
    <t>→ Enfocar marketing en región Centro</t>
  </si>
  <si>
    <t>→ Preparar promociones para productos de alto valor</t>
  </si>
  <si>
    <t>Promedio de Precio_Unitario</t>
  </si>
  <si>
    <t>Total general</t>
  </si>
  <si>
    <t>Previsión(Venta_Total)</t>
  </si>
  <si>
    <t>Límite de confianza inferior(Venta_Total)</t>
  </si>
  <si>
    <t>Límite de confianza superior(Venta_Total)</t>
  </si>
  <si>
    <t>1. ANÁLISIS DE PRECIOS PROMEDIO POR REGIÓN</t>
  </si>
  <si>
    <t>Pregunta clave:</t>
  </si>
  <si>
    <t>¿Cuál es el precio promedio unitario por categoría de producto en diferentes regiones?</t>
  </si>
  <si>
    <t>Hallazgos principales:</t>
  </si>
  <si>
    <t>Categoría más cara:</t>
  </si>
  <si>
    <t>Electrónica con precio promedio general de $416,944</t>
  </si>
  <si>
    <t>Categoría más económica:</t>
  </si>
  <si>
    <t>Accesorios con precio promedio general de $42,733</t>
  </si>
  <si>
    <t>Región más cara:</t>
  </si>
  <si>
    <t>Centro con precio promedio general de $261,359</t>
  </si>
  <si>
    <t>Región más económica:</t>
  </si>
  <si>
    <t>Sur con precio promedio general de $211,544</t>
  </si>
  <si>
    <t>Dispersión de precios:</t>
  </si>
  <si>
    <t>Electrónica muestra mayor variación entre regiones (384K-639K)</t>
  </si>
  <si>
    <t>2. ANÁLISIS DE VENTAS Y PROYECCIONES</t>
  </si>
  <si>
    <t>¿Cuál es la evolución y el nivel de certidumbre en las ventas totales?</t>
  </si>
  <si>
    <t>Tendencia:</t>
  </si>
  <si>
    <t>Crecimiento sostenido desde unidad 1 hasta unidad 8</t>
  </si>
  <si>
    <t>Punto de inflexión:</t>
  </si>
  <si>
    <t>Aceleración significativa entre unidades 4 y 5</t>
  </si>
  <si>
    <t>Intervalo de confianza:</t>
  </si>
  <si>
    <t>Aumenta progresivamente, mayor incertidumbre en proyecciones finales</t>
  </si>
  <si>
    <t>Unidad con mayor venta:</t>
  </si>
  <si>
    <t>Unidad 8 con ventas proyectadas de ~4,000+</t>
  </si>
  <si>
    <t>Estabilidad inicial:</t>
  </si>
  <si>
    <t>Unidades 1-4 muestran ventas estables alrededor de 800</t>
  </si>
  <si>
    <t>1.TABLAS DINÁMICAS - Análisis multidimensional</t>
  </si>
  <si>
    <t>2. GRÁFICOS RECOMENDADOS - Visualizaciones sugeridas por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</si>
</sst>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00_-;\-* #,##0.0000_-;_-* &quot;-&quot;??_-;_-@_-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6"/>
      <color rgb="FF4472C4"/>
      <name val="Calibri"/>
    </font>
    <font>
      <b/>
      <sz val="16"/>
      <color rgb="FFFFFFFF"/>
      <name val="Calibri"/>
    </font>
    <font>
      <b/>
      <sz val="11"/>
      <color rgb="FF4472C4"/>
      <name val="Calibri"/>
    </font>
    <font>
      <b/>
      <sz val="11"/>
      <name val="Calibri"/>
    </font>
    <font>
      <b/>
      <sz val="11"/>
      <color rgb="FF0000FF"/>
      <name val="Calibri"/>
    </font>
    <font>
      <b/>
      <i/>
      <sz val="11"/>
      <name val="Calibri"/>
    </font>
    <font>
      <b/>
      <sz val="12"/>
      <color theme="0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0000FF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pivotButton="1"/>
    <xf numFmtId="0" fontId="2" fillId="0" borderId="0" xfId="0" applyFont="1"/>
    <xf numFmtId="0" fontId="0" fillId="0" borderId="0" xfId="0"/>
    <xf numFmtId="0" fontId="3" fillId="2" borderId="0" xfId="0" applyFont="1" applyFill="1"/>
    <xf numFmtId="2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Fill="1"/>
    <xf numFmtId="0" fontId="10" fillId="3" borderId="0" xfId="0" applyFont="1" applyFill="1"/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165" formatCode="_-* #,##0.0000_-;\-* #,##0.0000_-;_-* &quot;-&quot;??_-;_-@_-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524445313900979E-2"/>
          <c:y val="5.1515560554930645E-2"/>
          <c:w val="0.92697451948941167"/>
          <c:h val="0.802343252547977"/>
        </c:manualLayout>
      </c:layout>
      <c:lineChart>
        <c:grouping val="standard"/>
        <c:varyColors val="0"/>
        <c:ser>
          <c:idx val="0"/>
          <c:order val="0"/>
          <c:tx>
            <c:strRef>
              <c:f>'Grafica con IA'!$B$1</c:f>
              <c:strCache>
                <c:ptCount val="1"/>
                <c:pt idx="0">
                  <c:v>Venta_Total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'Grafica con IA'!$B$2:$B$9</c:f>
              <c:numCache>
                <c:formatCode>General</c:formatCode>
                <c:ptCount val="8"/>
                <c:pt idx="0">
                  <c:v>289.1538888888889</c:v>
                </c:pt>
                <c:pt idx="1">
                  <c:v>495.51416666666654</c:v>
                </c:pt>
                <c:pt idx="2">
                  <c:v>705.43571428571443</c:v>
                </c:pt>
                <c:pt idx="3">
                  <c:v>779.27000000000032</c:v>
                </c:pt>
                <c:pt idx="4">
                  <c:v>2279.2325000000001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A-4A6F-81A6-2F402AE0130A}"/>
            </c:ext>
          </c:extLst>
        </c:ser>
        <c:ser>
          <c:idx val="1"/>
          <c:order val="1"/>
          <c:tx>
            <c:strRef>
              <c:f>'Grafica con IA'!$C$1</c:f>
              <c:strCache>
                <c:ptCount val="1"/>
                <c:pt idx="0">
                  <c:v>Previsión(Venta_Total)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'Grafica con IA'!$A$2:$A$9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'Grafica con IA'!$C$2:$C$9</c:f>
              <c:numCache>
                <c:formatCode>General</c:formatCode>
                <c:ptCount val="8"/>
                <c:pt idx="4">
                  <c:v>2279.2325000000001</c:v>
                </c:pt>
                <c:pt idx="5">
                  <c:v>2335.9081334031184</c:v>
                </c:pt>
                <c:pt idx="6">
                  <c:v>2787.2066484607749</c:v>
                </c:pt>
                <c:pt idx="7">
                  <c:v>3238.5051635184318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A-4A6F-81A6-2F402AE0130A}"/>
            </c:ext>
          </c:extLst>
        </c:ser>
        <c:ser>
          <c:idx val="2"/>
          <c:order val="2"/>
          <c:tx>
            <c:strRef>
              <c:f>'Grafica con IA'!$D$1</c:f>
              <c:strCache>
                <c:ptCount val="1"/>
                <c:pt idx="0">
                  <c:v>Límite de confianza inferior(Venta_Total)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'Grafica con IA'!$A$2:$A$9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'Grafica con IA'!$D$2:$D$9</c:f>
              <c:numCache>
                <c:formatCode>General</c:formatCode>
                <c:ptCount val="8"/>
                <c:pt idx="4" formatCode="0.00">
                  <c:v>2279.2325000000001</c:v>
                </c:pt>
                <c:pt idx="5" formatCode="0.00">
                  <c:v>1457.0569586729425</c:v>
                </c:pt>
                <c:pt idx="6" formatCode="0.00">
                  <c:v>1881.0940389549542</c:v>
                </c:pt>
                <c:pt idx="7" formatCode="0.00">
                  <c:v>2305.7194208539604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A-4A6F-81A6-2F402AE0130A}"/>
            </c:ext>
          </c:extLst>
        </c:ser>
        <c:ser>
          <c:idx val="3"/>
          <c:order val="3"/>
          <c:tx>
            <c:strRef>
              <c:f>'Grafica con IA'!$E$1</c:f>
              <c:strCache>
                <c:ptCount val="1"/>
                <c:pt idx="0">
                  <c:v>Límite de confianza superior(Venta_Total)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'Grafica con IA'!$A$2:$A$9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'Grafica con IA'!$E$2:$E$9</c:f>
              <c:numCache>
                <c:formatCode>General</c:formatCode>
                <c:ptCount val="8"/>
                <c:pt idx="4" formatCode="0.00">
                  <c:v>2279.2325000000001</c:v>
                </c:pt>
                <c:pt idx="5" formatCode="0.00">
                  <c:v>3214.7593081332943</c:v>
                </c:pt>
                <c:pt idx="6" formatCode="0.00">
                  <c:v>3693.3192579665956</c:v>
                </c:pt>
                <c:pt idx="7" formatCode="0.00">
                  <c:v>4171.2909061829032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8A-4A6F-81A6-2F402AE01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236368"/>
        <c:axId val="1446237200"/>
      </c:lineChart>
      <c:catAx>
        <c:axId val="14462363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6237200"/>
        <c:crosses val="autoZero"/>
        <c:auto val="1"/>
        <c:lblAlgn val="ctr"/>
        <c:lblOffset val="100"/>
        <c:noMultiLvlLbl val="0"/>
      </c:catAx>
      <c:valAx>
        <c:axId val="144623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623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10</xdr:row>
      <xdr:rowOff>171450</xdr:rowOff>
    </xdr:from>
    <xdr:to>
      <xdr:col>4</xdr:col>
      <xdr:colOff>2112645</xdr:colOff>
      <xdr:row>30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BA6333-7B9E-42D7-8A6F-4D93E018B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6.341590856478" createdVersion="8" refreshedVersion="8" minRefreshableVersion="3" recordCount="95" xr:uid="{B7A99C85-75EE-4665-BE65-EE854A97FBB8}">
  <cacheSource type="worksheet">
    <worksheetSource ref="A1:G96" sheet="Datos_Ventas"/>
  </cacheSource>
  <cacheFields count="7">
    <cacheField name="Fecha" numFmtId="0">
      <sharedItems/>
    </cacheField>
    <cacheField name="Producto" numFmtId="0">
      <sharedItems/>
    </cacheField>
    <cacheField name="Categoría" numFmtId="0">
      <sharedItems count="3">
        <s v="Accesorios"/>
        <s v="Muebles"/>
        <s v="Electrónica"/>
      </sharedItems>
    </cacheField>
    <cacheField name="Unidades" numFmtId="0">
      <sharedItems containsSemiMixedTypes="0" containsString="0" containsNumber="1" containsInteger="1" minValue="1" maxValue="5"/>
    </cacheField>
    <cacheField name="Precio_Unitario" numFmtId="0">
      <sharedItems containsSemiMixedTypes="0" containsString="0" containsNumber="1" minValue="21.48" maxValue="1295.2"/>
    </cacheField>
    <cacheField name="Venta_Total" numFmtId="0">
      <sharedItems containsSemiMixedTypes="0" containsString="0" containsNumber="1" minValue="22.43" maxValue="6476"/>
    </cacheField>
    <cacheField name="Región" numFmtId="0">
      <sharedItems count="5">
        <s v="Norte"/>
        <s v="Oeste"/>
        <s v="Sur"/>
        <s v="Centro"/>
        <s v="Es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2025-08-02"/>
    <s v="Botella Térmica"/>
    <x v="0"/>
    <n v="1"/>
    <n v="22.49"/>
    <n v="22.49"/>
    <x v="0"/>
  </r>
  <r>
    <s v="2025-08-24"/>
    <s v="Escritorio"/>
    <x v="1"/>
    <n v="1"/>
    <n v="471.68"/>
    <n v="471.68"/>
    <x v="1"/>
  </r>
  <r>
    <s v="2025-08-14"/>
    <s v="Escritorio"/>
    <x v="1"/>
    <n v="5"/>
    <n v="483.95"/>
    <n v="2419.75"/>
    <x v="2"/>
  </r>
  <r>
    <s v="2025-08-03"/>
    <s v="Silla Ergonómica"/>
    <x v="1"/>
    <n v="3"/>
    <n v="345.22"/>
    <n v="1035.6600000000001"/>
    <x v="3"/>
  </r>
  <r>
    <s v="2025-08-19"/>
    <s v="Monitor 24&quot;"/>
    <x v="2"/>
    <n v="1"/>
    <n v="269.47000000000003"/>
    <n v="269.47000000000003"/>
    <x v="1"/>
  </r>
  <r>
    <s v="2025-08-21"/>
    <s v="Lámpara LED"/>
    <x v="1"/>
    <n v="2"/>
    <n v="44.6"/>
    <n v="89.2"/>
    <x v="3"/>
  </r>
  <r>
    <s v="2025-08-13"/>
    <s v="Monitor 24&quot;"/>
    <x v="2"/>
    <n v="5"/>
    <n v="287.01"/>
    <n v="1435.05"/>
    <x v="4"/>
  </r>
  <r>
    <s v="2025-08-21"/>
    <s v="Laptop Pro"/>
    <x v="2"/>
    <n v="5"/>
    <n v="1090.2"/>
    <n v="5451"/>
    <x v="3"/>
  </r>
  <r>
    <s v="2025-08-04"/>
    <s v="Mouse Inalámbrico"/>
    <x v="2"/>
    <n v="4"/>
    <n v="26.94"/>
    <n v="107.76"/>
    <x v="2"/>
  </r>
  <r>
    <s v="2025-08-17"/>
    <s v="Mochila Ejecutiva"/>
    <x v="0"/>
    <n v="1"/>
    <n v="69.45"/>
    <n v="69.45"/>
    <x v="1"/>
  </r>
  <r>
    <s v="2025-08-04"/>
    <s v="Laptop Pro"/>
    <x v="2"/>
    <n v="3"/>
    <n v="1149.1600000000001"/>
    <n v="3447.48"/>
    <x v="1"/>
  </r>
  <r>
    <s v="2025-08-26"/>
    <s v="Monitor 24&quot;"/>
    <x v="2"/>
    <n v="3"/>
    <n v="301.85000000000002"/>
    <n v="905.55"/>
    <x v="0"/>
  </r>
  <r>
    <s v="2025-08-22"/>
    <s v="Auriculares BT"/>
    <x v="2"/>
    <n v="2"/>
    <n v="101.97"/>
    <n v="203.94"/>
    <x v="2"/>
  </r>
  <r>
    <s v="2025-08-07"/>
    <s v="Escritorio"/>
    <x v="1"/>
    <n v="3"/>
    <n v="419.99"/>
    <n v="1259.97"/>
    <x v="3"/>
  </r>
  <r>
    <s v="2025-08-11"/>
    <s v="Laptop Pro"/>
    <x v="2"/>
    <n v="2"/>
    <n v="1088.76"/>
    <n v="2177.52"/>
    <x v="4"/>
  </r>
  <r>
    <s v="2025-08-22"/>
    <s v="Silla Ergonómica"/>
    <x v="1"/>
    <n v="2"/>
    <n v="322.93"/>
    <n v="645.86"/>
    <x v="3"/>
  </r>
  <r>
    <s v="2025-08-21"/>
    <s v="Laptop Pro"/>
    <x v="2"/>
    <n v="5"/>
    <n v="1099.3900000000001"/>
    <n v="5496.95"/>
    <x v="2"/>
  </r>
  <r>
    <s v="2025-09-04"/>
    <s v="Auriculares BT"/>
    <x v="2"/>
    <n v="5"/>
    <n v="101.06"/>
    <n v="505.3"/>
    <x v="1"/>
  </r>
  <r>
    <s v="2025-09-25"/>
    <s v="Escritorio"/>
    <x v="1"/>
    <n v="2"/>
    <n v="419.9"/>
    <n v="839.8"/>
    <x v="0"/>
  </r>
  <r>
    <s v="2025-09-19"/>
    <s v="Botella Térmica"/>
    <x v="0"/>
    <n v="3"/>
    <n v="23.99"/>
    <n v="71.97"/>
    <x v="0"/>
  </r>
  <r>
    <s v="2025-09-07"/>
    <s v="Teclado Mecánico"/>
    <x v="2"/>
    <n v="4"/>
    <n v="86.82"/>
    <n v="347.28"/>
    <x v="2"/>
  </r>
  <r>
    <s v="2025-09-28"/>
    <s v="Mochila Ejecutiva"/>
    <x v="0"/>
    <n v="5"/>
    <n v="69.7"/>
    <n v="348.5"/>
    <x v="3"/>
  </r>
  <r>
    <s v="2025-09-22"/>
    <s v="Mochila Ejecutiva"/>
    <x v="0"/>
    <n v="2"/>
    <n v="65.150000000000006"/>
    <n v="130.30000000000001"/>
    <x v="2"/>
  </r>
  <r>
    <s v="2025-09-04"/>
    <s v="Mouse Inalámbrico"/>
    <x v="2"/>
    <n v="5"/>
    <n v="24.81"/>
    <n v="124.05"/>
    <x v="1"/>
  </r>
  <r>
    <s v="2025-09-09"/>
    <s v="Monitor 24&quot;"/>
    <x v="2"/>
    <n v="1"/>
    <n v="292.67"/>
    <n v="292.67"/>
    <x v="0"/>
  </r>
  <r>
    <s v="2025-09-03"/>
    <s v="Escritorio"/>
    <x v="1"/>
    <n v="1"/>
    <n v="428.7"/>
    <n v="428.7"/>
    <x v="3"/>
  </r>
  <r>
    <s v="2025-09-10"/>
    <s v="Botella Térmica"/>
    <x v="0"/>
    <n v="2"/>
    <n v="22.72"/>
    <n v="45.44"/>
    <x v="3"/>
  </r>
  <r>
    <s v="2025-09-24"/>
    <s v="Laptop Pro"/>
    <x v="2"/>
    <n v="1"/>
    <n v="1103.8900000000001"/>
    <n v="1103.8900000000001"/>
    <x v="1"/>
  </r>
  <r>
    <s v="2025-09-03"/>
    <s v="Auriculares BT"/>
    <x v="2"/>
    <n v="3"/>
    <n v="103.6"/>
    <n v="310.8"/>
    <x v="2"/>
  </r>
  <r>
    <s v="2025-09-04"/>
    <s v="Teclado Mecánico"/>
    <x v="2"/>
    <n v="5"/>
    <n v="76.930000000000007"/>
    <n v="384.65"/>
    <x v="1"/>
  </r>
  <r>
    <s v="2025-09-05"/>
    <s v="Mochila Ejecutiva"/>
    <x v="0"/>
    <n v="3"/>
    <n v="64.540000000000006"/>
    <n v="193.62"/>
    <x v="0"/>
  </r>
  <r>
    <s v="2025-09-15"/>
    <s v="Escritorio"/>
    <x v="1"/>
    <n v="2"/>
    <n v="429.18"/>
    <n v="858.36"/>
    <x v="1"/>
  </r>
  <r>
    <s v="2025-10-28"/>
    <s v="Lámpara LED"/>
    <x v="1"/>
    <n v="3"/>
    <n v="40.700000000000003"/>
    <n v="122.1"/>
    <x v="2"/>
  </r>
  <r>
    <s v="2025-10-08"/>
    <s v="Monitor 24&quot;"/>
    <x v="2"/>
    <n v="1"/>
    <n v="299.77999999999997"/>
    <n v="299.77999999999997"/>
    <x v="2"/>
  </r>
  <r>
    <s v="2025-10-14"/>
    <s v="Auriculares BT"/>
    <x v="2"/>
    <n v="4"/>
    <n v="99.15"/>
    <n v="396.6"/>
    <x v="4"/>
  </r>
  <r>
    <s v="2025-10-21"/>
    <s v="Lámpara LED"/>
    <x v="1"/>
    <n v="3"/>
    <n v="40.64"/>
    <n v="121.92"/>
    <x v="0"/>
  </r>
  <r>
    <s v="2025-10-09"/>
    <s v="Lámpara LED"/>
    <x v="1"/>
    <n v="3"/>
    <n v="46.11"/>
    <n v="138.33000000000001"/>
    <x v="2"/>
  </r>
  <r>
    <s v="2025-10-01"/>
    <s v="Mouse Inalámbrico"/>
    <x v="2"/>
    <n v="4"/>
    <n v="27.26"/>
    <n v="109.04"/>
    <x v="3"/>
  </r>
  <r>
    <s v="2025-10-28"/>
    <s v="Lámpara LED"/>
    <x v="1"/>
    <n v="2"/>
    <n v="42.29"/>
    <n v="84.58"/>
    <x v="4"/>
  </r>
  <r>
    <s v="2025-10-16"/>
    <s v="Laptop Pro"/>
    <x v="2"/>
    <n v="5"/>
    <n v="1220.0899999999999"/>
    <n v="6100.45"/>
    <x v="4"/>
  </r>
  <r>
    <s v="2025-10-25"/>
    <s v="Mouse Inalámbrico"/>
    <x v="2"/>
    <n v="2"/>
    <n v="23.93"/>
    <n v="47.86"/>
    <x v="4"/>
  </r>
  <r>
    <s v="2025-10-24"/>
    <s v="Mochila Ejecutiva"/>
    <x v="0"/>
    <n v="1"/>
    <n v="70.08"/>
    <n v="70.08"/>
    <x v="4"/>
  </r>
  <r>
    <s v="2025-10-21"/>
    <s v="Lámpara LED"/>
    <x v="1"/>
    <n v="4"/>
    <n v="47.8"/>
    <n v="191.2"/>
    <x v="4"/>
  </r>
  <r>
    <s v="2025-10-22"/>
    <s v="Auriculares BT"/>
    <x v="2"/>
    <n v="3"/>
    <n v="96.23"/>
    <n v="288.69"/>
    <x v="1"/>
  </r>
  <r>
    <s v="2025-10-02"/>
    <s v="Laptop Pro"/>
    <x v="2"/>
    <n v="4"/>
    <n v="1179.49"/>
    <n v="4717.96"/>
    <x v="3"/>
  </r>
  <r>
    <s v="2025-10-02"/>
    <s v="Silla Ergonómica"/>
    <x v="1"/>
    <n v="2"/>
    <n v="384.73"/>
    <n v="769.46"/>
    <x v="4"/>
  </r>
  <r>
    <s v="2025-11-06"/>
    <s v="Laptop Pro"/>
    <x v="2"/>
    <n v="5"/>
    <n v="1295.2"/>
    <n v="6476"/>
    <x v="1"/>
  </r>
  <r>
    <s v="2025-11-14"/>
    <s v="Botella Térmica"/>
    <x v="0"/>
    <n v="3"/>
    <n v="23.78"/>
    <n v="71.34"/>
    <x v="2"/>
  </r>
  <r>
    <s v="2025-11-16"/>
    <s v="Mouse Inalámbrico"/>
    <x v="2"/>
    <n v="4"/>
    <n v="26.29"/>
    <n v="105.16"/>
    <x v="0"/>
  </r>
  <r>
    <s v="2025-11-22"/>
    <s v="Escritorio"/>
    <x v="1"/>
    <n v="2"/>
    <n v="479.32"/>
    <n v="958.64"/>
    <x v="4"/>
  </r>
  <r>
    <s v="2025-11-02"/>
    <s v="Mochila Ejecutiva"/>
    <x v="0"/>
    <n v="2"/>
    <n v="58.62"/>
    <n v="117.24"/>
    <x v="4"/>
  </r>
  <r>
    <s v="2025-11-01"/>
    <s v="Monitor 24&quot;"/>
    <x v="2"/>
    <n v="3"/>
    <n v="290.62"/>
    <n v="871.86"/>
    <x v="4"/>
  </r>
  <r>
    <s v="2025-11-21"/>
    <s v="Silla Ergonómica"/>
    <x v="1"/>
    <n v="5"/>
    <n v="382.96"/>
    <n v="1914.8"/>
    <x v="2"/>
  </r>
  <r>
    <s v="2025-11-24"/>
    <s v="Botella Térmica"/>
    <x v="0"/>
    <n v="5"/>
    <n v="21.99"/>
    <n v="109.95"/>
    <x v="0"/>
  </r>
  <r>
    <s v="2025-11-11"/>
    <s v="Mouse Inalámbrico"/>
    <x v="2"/>
    <n v="2"/>
    <n v="24.74"/>
    <n v="49.48"/>
    <x v="0"/>
  </r>
  <r>
    <s v="2025-11-04"/>
    <s v="Lámpara LED"/>
    <x v="1"/>
    <n v="5"/>
    <n v="45.71"/>
    <n v="228.55"/>
    <x v="4"/>
  </r>
  <r>
    <s v="2025-11-11"/>
    <s v="Silla Ergonómica"/>
    <x v="1"/>
    <n v="3"/>
    <n v="328.89"/>
    <n v="986.67"/>
    <x v="1"/>
  </r>
  <r>
    <s v="2025-11-27"/>
    <s v="Mouse Inalámbrico"/>
    <x v="2"/>
    <n v="4"/>
    <n v="22.76"/>
    <n v="91.04"/>
    <x v="1"/>
  </r>
  <r>
    <s v="2025-11-01"/>
    <s v="Monitor 24&quot;"/>
    <x v="2"/>
    <n v="1"/>
    <n v="286.98"/>
    <n v="286.98"/>
    <x v="4"/>
  </r>
  <r>
    <s v="2025-11-07"/>
    <s v="Botella Térmica"/>
    <x v="0"/>
    <n v="5"/>
    <n v="23.33"/>
    <n v="116.65"/>
    <x v="0"/>
  </r>
  <r>
    <s v="2025-10-31"/>
    <s v="Laptop Pro"/>
    <x v="2"/>
    <n v="1"/>
    <n v="1172.07"/>
    <n v="1172.07"/>
    <x v="0"/>
  </r>
  <r>
    <s v="2025-11-20"/>
    <s v="Auriculares BT"/>
    <x v="2"/>
    <n v="3"/>
    <n v="96.15"/>
    <n v="288.45"/>
    <x v="4"/>
  </r>
  <r>
    <s v="2025-11-06"/>
    <s v="Botella Térmica"/>
    <x v="0"/>
    <n v="4"/>
    <n v="22.76"/>
    <n v="91.04"/>
    <x v="3"/>
  </r>
  <r>
    <s v="2025-12-10"/>
    <s v="Botella Térmica"/>
    <x v="0"/>
    <n v="1"/>
    <n v="22.43"/>
    <n v="22.43"/>
    <x v="4"/>
  </r>
  <r>
    <s v="2025-12-21"/>
    <s v="Auriculares BT"/>
    <x v="2"/>
    <n v="2"/>
    <n v="89.24"/>
    <n v="178.48"/>
    <x v="2"/>
  </r>
  <r>
    <s v="2025-12-24"/>
    <s v="Lámpara LED"/>
    <x v="1"/>
    <n v="2"/>
    <n v="40.65"/>
    <n v="81.3"/>
    <x v="3"/>
  </r>
  <r>
    <s v="2025-12-03"/>
    <s v="Silla Ergonómica"/>
    <x v="1"/>
    <n v="1"/>
    <n v="373.12"/>
    <n v="373.12"/>
    <x v="2"/>
  </r>
  <r>
    <s v="2025-12-08"/>
    <s v="Escritorio"/>
    <x v="1"/>
    <n v="4"/>
    <n v="485.63"/>
    <n v="1942.52"/>
    <x v="0"/>
  </r>
  <r>
    <s v="2025-12-02"/>
    <s v="Auriculares BT"/>
    <x v="2"/>
    <n v="2"/>
    <n v="102.99"/>
    <n v="205.98"/>
    <x v="1"/>
  </r>
  <r>
    <s v="2025-12-05"/>
    <s v="Botella Térmica"/>
    <x v="0"/>
    <n v="2"/>
    <n v="22.87"/>
    <n v="45.74"/>
    <x v="3"/>
  </r>
  <r>
    <s v="2025-12-26"/>
    <s v="Escritorio"/>
    <x v="1"/>
    <n v="3"/>
    <n v="430.59"/>
    <n v="1291.77"/>
    <x v="4"/>
  </r>
  <r>
    <s v="2025-12-15"/>
    <s v="Botella Térmica"/>
    <x v="0"/>
    <n v="1"/>
    <n v="23.75"/>
    <n v="23.75"/>
    <x v="2"/>
  </r>
  <r>
    <s v="2025-12-25"/>
    <s v="Mochila Ejecutiva"/>
    <x v="0"/>
    <n v="3"/>
    <n v="60.93"/>
    <n v="182.79"/>
    <x v="3"/>
  </r>
  <r>
    <s v="2025-12-15"/>
    <s v="Monitor 24&quot;"/>
    <x v="2"/>
    <n v="4"/>
    <n v="289.44"/>
    <n v="1157.76"/>
    <x v="1"/>
  </r>
  <r>
    <s v="2025-12-11"/>
    <s v="Laptop Pro"/>
    <x v="2"/>
    <n v="5"/>
    <n v="1255.6199999999999"/>
    <n v="6278.1"/>
    <x v="0"/>
  </r>
  <r>
    <s v="2025-12-10"/>
    <s v="Mouse Inalámbrico"/>
    <x v="2"/>
    <n v="4"/>
    <n v="23.47"/>
    <n v="93.88"/>
    <x v="0"/>
  </r>
  <r>
    <s v="2025-12-02"/>
    <s v="Lámpara LED"/>
    <x v="1"/>
    <n v="5"/>
    <n v="45.71"/>
    <n v="228.55"/>
    <x v="0"/>
  </r>
  <r>
    <s v="2026-01-09"/>
    <s v="Laptop Pro"/>
    <x v="2"/>
    <n v="5"/>
    <n v="1167.5"/>
    <n v="5837.5"/>
    <x v="4"/>
  </r>
  <r>
    <s v="2026-01-21"/>
    <s v="Botella Térmica"/>
    <x v="0"/>
    <n v="2"/>
    <n v="21.48"/>
    <n v="42.96"/>
    <x v="3"/>
  </r>
  <r>
    <s v="2026-01-15"/>
    <s v="Auriculares BT"/>
    <x v="2"/>
    <n v="1"/>
    <n v="90.9"/>
    <n v="90.9"/>
    <x v="0"/>
  </r>
  <r>
    <s v="2026-01-21"/>
    <s v="Auriculares BT"/>
    <x v="2"/>
    <n v="1"/>
    <n v="86.1"/>
    <n v="86.1"/>
    <x v="1"/>
  </r>
  <r>
    <s v="2026-01-06"/>
    <s v="Mochila Ejecutiva"/>
    <x v="0"/>
    <n v="3"/>
    <n v="58.74"/>
    <n v="176.22"/>
    <x v="1"/>
  </r>
  <r>
    <s v="2026-01-15"/>
    <s v="Escritorio"/>
    <x v="1"/>
    <n v="3"/>
    <n v="485.17"/>
    <n v="1455.51"/>
    <x v="4"/>
  </r>
  <r>
    <s v="2026-01-21"/>
    <s v="Mochila Ejecutiva"/>
    <x v="0"/>
    <n v="5"/>
    <n v="63.82"/>
    <n v="319.10000000000002"/>
    <x v="3"/>
  </r>
  <r>
    <s v="2026-01-02"/>
    <s v="Monitor 24&quot;"/>
    <x v="2"/>
    <n v="2"/>
    <n v="269.04000000000002"/>
    <n v="538.08000000000004"/>
    <x v="4"/>
  </r>
  <r>
    <s v="2026-01-03"/>
    <s v="Mochila Ejecutiva"/>
    <x v="0"/>
    <n v="2"/>
    <n v="59.32"/>
    <n v="118.64"/>
    <x v="1"/>
  </r>
  <r>
    <s v="2026-01-22"/>
    <s v="Monitor 24&quot;"/>
    <x v="2"/>
    <n v="3"/>
    <n v="259.77999999999997"/>
    <n v="779.34"/>
    <x v="3"/>
  </r>
  <r>
    <s v="2026-01-26"/>
    <s v="Lámpara LED"/>
    <x v="1"/>
    <n v="1"/>
    <n v="44.23"/>
    <n v="44.23"/>
    <x v="4"/>
  </r>
  <r>
    <s v="2026-01-05"/>
    <s v="Silla Ergonómica"/>
    <x v="1"/>
    <n v="5"/>
    <n v="315.89999999999998"/>
    <n v="1579.5"/>
    <x v="4"/>
  </r>
  <r>
    <s v="2026-01-21"/>
    <s v="Teclado Mecánico"/>
    <x v="2"/>
    <n v="1"/>
    <n v="76.98"/>
    <n v="76.98"/>
    <x v="4"/>
  </r>
  <r>
    <s v="2026-01-12"/>
    <s v="Monitor 24&quot;"/>
    <x v="2"/>
    <n v="2"/>
    <n v="274.76"/>
    <n v="549.52"/>
    <x v="4"/>
  </r>
  <r>
    <s v="2026-01-10"/>
    <s v="Monitor 24&quot;"/>
    <x v="2"/>
    <n v="2"/>
    <n v="302.94"/>
    <n v="605.88"/>
    <x v="2"/>
  </r>
  <r>
    <s v="2026-01-04"/>
    <s v="Monitor 24&quot;"/>
    <x v="2"/>
    <n v="3"/>
    <n v="271.37"/>
    <n v="814.11"/>
    <x v="0"/>
  </r>
  <r>
    <s v="2026-01-04"/>
    <s v="Laptop Pro"/>
    <x v="2"/>
    <n v="2"/>
    <n v="1254.04"/>
    <n v="2508.08"/>
    <x v="1"/>
  </r>
  <r>
    <s v="2026-01-14"/>
    <s v="Lámpara LED"/>
    <x v="1"/>
    <n v="5"/>
    <n v="46.05"/>
    <n v="230.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0398F-9BF1-4B38-9F10-04F65124F80C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G7" firstHeaderRow="1" firstDataRow="2" firstDataCol="1"/>
  <pivotFields count="7">
    <pivotField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axis="axisCol" compact="0" outline="0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4">
    <i>
      <x v="1"/>
    </i>
    <i>
      <x v="2"/>
    </i>
    <i>
      <x/>
    </i>
    <i t="grand">
      <x/>
    </i>
  </rowItems>
  <colFields count="1">
    <field x="6"/>
  </colFields>
  <colItems count="6">
    <i>
      <x v="3"/>
    </i>
    <i>
      <x v="1"/>
    </i>
    <i>
      <x/>
    </i>
    <i>
      <x v="2"/>
    </i>
    <i>
      <x v="4"/>
    </i>
    <i t="grand">
      <x/>
    </i>
  </colItems>
  <dataFields count="1">
    <dataField name="Promedio de Precio_Unitario" fld="4" subtotal="average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E9BB5-F40A-475C-806B-ED2658B19CE8}" name="Tabla1" displayName="Tabla1" ref="A1:E9" totalsRowShown="0">
  <autoFilter ref="A1:E9" xr:uid="{BB3E9BB5-F40A-475C-806B-ED2658B19CE8}"/>
  <tableColumns count="5">
    <tableColumn id="1" xr3:uid="{063CD352-FD6F-4E90-939C-260428BF075B}" name="Unidades"/>
    <tableColumn id="2" xr3:uid="{0348ADED-C117-40B0-8080-D97D74874DDA}" name="Venta_Total"/>
    <tableColumn id="3" xr3:uid="{0D1D1069-1CB4-4073-8CE2-B322CC948503}" name="Previsión(Venta_Total)"/>
    <tableColumn id="4" xr3:uid="{19848593-D165-4A16-A827-FC872DA733D4}" name="Límite de confianza inferior(Venta_Total)" dataDxfId="2"/>
    <tableColumn id="5" xr3:uid="{92ACF9AB-C83C-45FE-BEED-756435F467EB}" name="Límite de confianza superior(Venta_Total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workbookViewId="0">
      <selection activeCell="F7" sqref="F7"/>
    </sheetView>
  </sheetViews>
  <sheetFormatPr baseColWidth="10" defaultColWidth="8.88671875" defaultRowHeight="14.4" x14ac:dyDescent="0.3"/>
  <cols>
    <col min="1" max="1" width="12" customWidth="1"/>
    <col min="2" max="2" width="20" customWidth="1"/>
    <col min="3" max="3" width="14" customWidth="1"/>
    <col min="4" max="4" width="10" customWidth="1"/>
    <col min="5" max="5" width="16" customWidth="1"/>
    <col min="6" max="6" width="14" customWidth="1"/>
    <col min="7" max="7" width="1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22.49</v>
      </c>
      <c r="F2">
        <v>22.49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1</v>
      </c>
      <c r="E3">
        <v>471.68</v>
      </c>
      <c r="F3">
        <v>471.68</v>
      </c>
      <c r="G3" t="s">
        <v>14</v>
      </c>
    </row>
    <row r="4" spans="1:7" x14ac:dyDescent="0.3">
      <c r="A4" t="s">
        <v>15</v>
      </c>
      <c r="B4" t="s">
        <v>12</v>
      </c>
      <c r="C4" t="s">
        <v>13</v>
      </c>
      <c r="D4">
        <v>5</v>
      </c>
      <c r="E4">
        <v>483.95</v>
      </c>
      <c r="F4">
        <v>2419.75</v>
      </c>
      <c r="G4" t="s">
        <v>16</v>
      </c>
    </row>
    <row r="5" spans="1:7" x14ac:dyDescent="0.3">
      <c r="A5" t="s">
        <v>17</v>
      </c>
      <c r="B5" t="s">
        <v>18</v>
      </c>
      <c r="C5" t="s">
        <v>13</v>
      </c>
      <c r="D5">
        <v>3</v>
      </c>
      <c r="E5">
        <v>345.22</v>
      </c>
      <c r="F5">
        <v>1035.6600000000001</v>
      </c>
      <c r="G5" t="s">
        <v>19</v>
      </c>
    </row>
    <row r="6" spans="1:7" x14ac:dyDescent="0.3">
      <c r="A6" t="s">
        <v>20</v>
      </c>
      <c r="B6" t="s">
        <v>21</v>
      </c>
      <c r="C6" t="s">
        <v>22</v>
      </c>
      <c r="D6">
        <v>1</v>
      </c>
      <c r="E6">
        <v>269.47000000000003</v>
      </c>
      <c r="F6">
        <v>269.47000000000003</v>
      </c>
      <c r="G6" t="s">
        <v>14</v>
      </c>
    </row>
    <row r="7" spans="1:7" x14ac:dyDescent="0.3">
      <c r="A7" t="s">
        <v>23</v>
      </c>
      <c r="B7" t="s">
        <v>24</v>
      </c>
      <c r="C7" t="s">
        <v>13</v>
      </c>
      <c r="D7">
        <v>2</v>
      </c>
      <c r="E7">
        <v>44.6</v>
      </c>
      <c r="F7">
        <v>89.2</v>
      </c>
      <c r="G7" t="s">
        <v>19</v>
      </c>
    </row>
    <row r="8" spans="1:7" x14ac:dyDescent="0.3">
      <c r="A8" t="s">
        <v>25</v>
      </c>
      <c r="B8" t="s">
        <v>21</v>
      </c>
      <c r="C8" t="s">
        <v>22</v>
      </c>
      <c r="D8">
        <v>5</v>
      </c>
      <c r="E8">
        <v>287.01</v>
      </c>
      <c r="F8">
        <v>1435.05</v>
      </c>
      <c r="G8" t="s">
        <v>26</v>
      </c>
    </row>
    <row r="9" spans="1:7" x14ac:dyDescent="0.3">
      <c r="A9" t="s">
        <v>23</v>
      </c>
      <c r="B9" t="s">
        <v>27</v>
      </c>
      <c r="C9" t="s">
        <v>22</v>
      </c>
      <c r="D9">
        <v>5</v>
      </c>
      <c r="E9">
        <v>1090.2</v>
      </c>
      <c r="F9">
        <v>5451</v>
      </c>
      <c r="G9" t="s">
        <v>19</v>
      </c>
    </row>
    <row r="10" spans="1:7" x14ac:dyDescent="0.3">
      <c r="A10" t="s">
        <v>28</v>
      </c>
      <c r="B10" t="s">
        <v>29</v>
      </c>
      <c r="C10" t="s">
        <v>22</v>
      </c>
      <c r="D10">
        <v>4</v>
      </c>
      <c r="E10">
        <v>26.94</v>
      </c>
      <c r="F10">
        <v>107.76</v>
      </c>
      <c r="G10" t="s">
        <v>16</v>
      </c>
    </row>
    <row r="11" spans="1:7" x14ac:dyDescent="0.3">
      <c r="A11" t="s">
        <v>30</v>
      </c>
      <c r="B11" t="s">
        <v>31</v>
      </c>
      <c r="C11" t="s">
        <v>9</v>
      </c>
      <c r="D11">
        <v>1</v>
      </c>
      <c r="E11">
        <v>69.45</v>
      </c>
      <c r="F11">
        <v>69.45</v>
      </c>
      <c r="G11" t="s">
        <v>14</v>
      </c>
    </row>
    <row r="12" spans="1:7" x14ac:dyDescent="0.3">
      <c r="A12" t="s">
        <v>28</v>
      </c>
      <c r="B12" t="s">
        <v>27</v>
      </c>
      <c r="C12" t="s">
        <v>22</v>
      </c>
      <c r="D12">
        <v>3</v>
      </c>
      <c r="E12">
        <v>1149.1600000000001</v>
      </c>
      <c r="F12">
        <v>3447.48</v>
      </c>
      <c r="G12" t="s">
        <v>14</v>
      </c>
    </row>
    <row r="13" spans="1:7" x14ac:dyDescent="0.3">
      <c r="A13" t="s">
        <v>32</v>
      </c>
      <c r="B13" t="s">
        <v>21</v>
      </c>
      <c r="C13" t="s">
        <v>22</v>
      </c>
      <c r="D13">
        <v>3</v>
      </c>
      <c r="E13">
        <v>301.85000000000002</v>
      </c>
      <c r="F13">
        <v>905.55</v>
      </c>
      <c r="G13" t="s">
        <v>10</v>
      </c>
    </row>
    <row r="14" spans="1:7" x14ac:dyDescent="0.3">
      <c r="A14" t="s">
        <v>33</v>
      </c>
      <c r="B14" t="s">
        <v>34</v>
      </c>
      <c r="C14" t="s">
        <v>22</v>
      </c>
      <c r="D14">
        <v>2</v>
      </c>
      <c r="E14">
        <v>101.97</v>
      </c>
      <c r="F14">
        <v>203.94</v>
      </c>
      <c r="G14" t="s">
        <v>16</v>
      </c>
    </row>
    <row r="15" spans="1:7" x14ac:dyDescent="0.3">
      <c r="A15" t="s">
        <v>35</v>
      </c>
      <c r="B15" t="s">
        <v>12</v>
      </c>
      <c r="C15" t="s">
        <v>13</v>
      </c>
      <c r="D15">
        <v>3</v>
      </c>
      <c r="E15">
        <v>419.99</v>
      </c>
      <c r="F15">
        <v>1259.97</v>
      </c>
      <c r="G15" t="s">
        <v>19</v>
      </c>
    </row>
    <row r="16" spans="1:7" x14ac:dyDescent="0.3">
      <c r="A16" t="s">
        <v>36</v>
      </c>
      <c r="B16" t="s">
        <v>27</v>
      </c>
      <c r="C16" t="s">
        <v>22</v>
      </c>
      <c r="D16">
        <v>2</v>
      </c>
      <c r="E16">
        <v>1088.76</v>
      </c>
      <c r="F16">
        <v>2177.52</v>
      </c>
      <c r="G16" t="s">
        <v>26</v>
      </c>
    </row>
    <row r="17" spans="1:7" x14ac:dyDescent="0.3">
      <c r="A17" t="s">
        <v>33</v>
      </c>
      <c r="B17" t="s">
        <v>18</v>
      </c>
      <c r="C17" t="s">
        <v>13</v>
      </c>
      <c r="D17">
        <v>2</v>
      </c>
      <c r="E17">
        <v>322.93</v>
      </c>
      <c r="F17">
        <v>645.86</v>
      </c>
      <c r="G17" t="s">
        <v>19</v>
      </c>
    </row>
    <row r="18" spans="1:7" x14ac:dyDescent="0.3">
      <c r="A18" t="s">
        <v>23</v>
      </c>
      <c r="B18" t="s">
        <v>27</v>
      </c>
      <c r="C18" t="s">
        <v>22</v>
      </c>
      <c r="D18">
        <v>5</v>
      </c>
      <c r="E18">
        <v>1099.3900000000001</v>
      </c>
      <c r="F18">
        <v>5496.95</v>
      </c>
      <c r="G18" t="s">
        <v>16</v>
      </c>
    </row>
    <row r="19" spans="1:7" x14ac:dyDescent="0.3">
      <c r="A19" t="s">
        <v>37</v>
      </c>
      <c r="B19" t="s">
        <v>34</v>
      </c>
      <c r="C19" t="s">
        <v>22</v>
      </c>
      <c r="D19">
        <v>5</v>
      </c>
      <c r="E19">
        <v>101.06</v>
      </c>
      <c r="F19">
        <v>505.3</v>
      </c>
      <c r="G19" t="s">
        <v>14</v>
      </c>
    </row>
    <row r="20" spans="1:7" x14ac:dyDescent="0.3">
      <c r="A20" t="s">
        <v>38</v>
      </c>
      <c r="B20" t="s">
        <v>12</v>
      </c>
      <c r="C20" t="s">
        <v>13</v>
      </c>
      <c r="D20">
        <v>2</v>
      </c>
      <c r="E20">
        <v>419.9</v>
      </c>
      <c r="F20">
        <v>839.8</v>
      </c>
      <c r="G20" t="s">
        <v>10</v>
      </c>
    </row>
    <row r="21" spans="1:7" x14ac:dyDescent="0.3">
      <c r="A21" t="s">
        <v>39</v>
      </c>
      <c r="B21" t="s">
        <v>8</v>
      </c>
      <c r="C21" t="s">
        <v>9</v>
      </c>
      <c r="D21">
        <v>3</v>
      </c>
      <c r="E21">
        <v>23.99</v>
      </c>
      <c r="F21">
        <v>71.97</v>
      </c>
      <c r="G21" t="s">
        <v>10</v>
      </c>
    </row>
    <row r="22" spans="1:7" x14ac:dyDescent="0.3">
      <c r="A22" t="s">
        <v>40</v>
      </c>
      <c r="B22" t="s">
        <v>41</v>
      </c>
      <c r="C22" t="s">
        <v>22</v>
      </c>
      <c r="D22">
        <v>4</v>
      </c>
      <c r="E22">
        <v>86.82</v>
      </c>
      <c r="F22">
        <v>347.28</v>
      </c>
      <c r="G22" t="s">
        <v>16</v>
      </c>
    </row>
    <row r="23" spans="1:7" x14ac:dyDescent="0.3">
      <c r="A23" t="s">
        <v>42</v>
      </c>
      <c r="B23" t="s">
        <v>31</v>
      </c>
      <c r="C23" t="s">
        <v>9</v>
      </c>
      <c r="D23">
        <v>5</v>
      </c>
      <c r="E23">
        <v>69.7</v>
      </c>
      <c r="F23">
        <v>348.5</v>
      </c>
      <c r="G23" t="s">
        <v>19</v>
      </c>
    </row>
    <row r="24" spans="1:7" x14ac:dyDescent="0.3">
      <c r="A24" t="s">
        <v>43</v>
      </c>
      <c r="B24" t="s">
        <v>31</v>
      </c>
      <c r="C24" t="s">
        <v>9</v>
      </c>
      <c r="D24">
        <v>2</v>
      </c>
      <c r="E24">
        <v>65.150000000000006</v>
      </c>
      <c r="F24">
        <v>130.30000000000001</v>
      </c>
      <c r="G24" t="s">
        <v>16</v>
      </c>
    </row>
    <row r="25" spans="1:7" x14ac:dyDescent="0.3">
      <c r="A25" t="s">
        <v>37</v>
      </c>
      <c r="B25" t="s">
        <v>29</v>
      </c>
      <c r="C25" t="s">
        <v>22</v>
      </c>
      <c r="D25">
        <v>5</v>
      </c>
      <c r="E25">
        <v>24.81</v>
      </c>
      <c r="F25">
        <v>124.05</v>
      </c>
      <c r="G25" t="s">
        <v>14</v>
      </c>
    </row>
    <row r="26" spans="1:7" x14ac:dyDescent="0.3">
      <c r="A26" t="s">
        <v>44</v>
      </c>
      <c r="B26" t="s">
        <v>21</v>
      </c>
      <c r="C26" t="s">
        <v>22</v>
      </c>
      <c r="D26">
        <v>1</v>
      </c>
      <c r="E26">
        <v>292.67</v>
      </c>
      <c r="F26">
        <v>292.67</v>
      </c>
      <c r="G26" t="s">
        <v>10</v>
      </c>
    </row>
    <row r="27" spans="1:7" x14ac:dyDescent="0.3">
      <c r="A27" t="s">
        <v>45</v>
      </c>
      <c r="B27" t="s">
        <v>12</v>
      </c>
      <c r="C27" t="s">
        <v>13</v>
      </c>
      <c r="D27">
        <v>1</v>
      </c>
      <c r="E27">
        <v>428.7</v>
      </c>
      <c r="F27">
        <v>428.7</v>
      </c>
      <c r="G27" t="s">
        <v>19</v>
      </c>
    </row>
    <row r="28" spans="1:7" x14ac:dyDescent="0.3">
      <c r="A28" t="s">
        <v>46</v>
      </c>
      <c r="B28" t="s">
        <v>8</v>
      </c>
      <c r="C28" t="s">
        <v>9</v>
      </c>
      <c r="D28">
        <v>2</v>
      </c>
      <c r="E28">
        <v>22.72</v>
      </c>
      <c r="F28">
        <v>45.44</v>
      </c>
      <c r="G28" t="s">
        <v>19</v>
      </c>
    </row>
    <row r="29" spans="1:7" x14ac:dyDescent="0.3">
      <c r="A29" t="s">
        <v>47</v>
      </c>
      <c r="B29" t="s">
        <v>27</v>
      </c>
      <c r="C29" t="s">
        <v>22</v>
      </c>
      <c r="D29">
        <v>1</v>
      </c>
      <c r="E29">
        <v>1103.8900000000001</v>
      </c>
      <c r="F29">
        <v>1103.8900000000001</v>
      </c>
      <c r="G29" t="s">
        <v>14</v>
      </c>
    </row>
    <row r="30" spans="1:7" x14ac:dyDescent="0.3">
      <c r="A30" t="s">
        <v>45</v>
      </c>
      <c r="B30" t="s">
        <v>34</v>
      </c>
      <c r="C30" t="s">
        <v>22</v>
      </c>
      <c r="D30">
        <v>3</v>
      </c>
      <c r="E30">
        <v>103.6</v>
      </c>
      <c r="F30">
        <v>310.8</v>
      </c>
      <c r="G30" t="s">
        <v>16</v>
      </c>
    </row>
    <row r="31" spans="1:7" x14ac:dyDescent="0.3">
      <c r="A31" t="s">
        <v>37</v>
      </c>
      <c r="B31" t="s">
        <v>41</v>
      </c>
      <c r="C31" t="s">
        <v>22</v>
      </c>
      <c r="D31">
        <v>5</v>
      </c>
      <c r="E31">
        <v>76.930000000000007</v>
      </c>
      <c r="F31">
        <v>384.65</v>
      </c>
      <c r="G31" t="s">
        <v>14</v>
      </c>
    </row>
    <row r="32" spans="1:7" x14ac:dyDescent="0.3">
      <c r="A32" t="s">
        <v>48</v>
      </c>
      <c r="B32" t="s">
        <v>31</v>
      </c>
      <c r="C32" t="s">
        <v>9</v>
      </c>
      <c r="D32">
        <v>3</v>
      </c>
      <c r="E32">
        <v>64.540000000000006</v>
      </c>
      <c r="F32">
        <v>193.62</v>
      </c>
      <c r="G32" t="s">
        <v>10</v>
      </c>
    </row>
    <row r="33" spans="1:7" x14ac:dyDescent="0.3">
      <c r="A33" t="s">
        <v>49</v>
      </c>
      <c r="B33" t="s">
        <v>12</v>
      </c>
      <c r="C33" t="s">
        <v>13</v>
      </c>
      <c r="D33">
        <v>2</v>
      </c>
      <c r="E33">
        <v>429.18</v>
      </c>
      <c r="F33">
        <v>858.36</v>
      </c>
      <c r="G33" t="s">
        <v>14</v>
      </c>
    </row>
    <row r="34" spans="1:7" x14ac:dyDescent="0.3">
      <c r="A34" t="s">
        <v>50</v>
      </c>
      <c r="B34" t="s">
        <v>24</v>
      </c>
      <c r="C34" t="s">
        <v>13</v>
      </c>
      <c r="D34">
        <v>3</v>
      </c>
      <c r="E34">
        <v>40.700000000000003</v>
      </c>
      <c r="F34">
        <v>122.1</v>
      </c>
      <c r="G34" t="s">
        <v>16</v>
      </c>
    </row>
    <row r="35" spans="1:7" x14ac:dyDescent="0.3">
      <c r="A35" t="s">
        <v>51</v>
      </c>
      <c r="B35" t="s">
        <v>21</v>
      </c>
      <c r="C35" t="s">
        <v>22</v>
      </c>
      <c r="D35">
        <v>1</v>
      </c>
      <c r="E35">
        <v>299.77999999999997</v>
      </c>
      <c r="F35">
        <v>299.77999999999997</v>
      </c>
      <c r="G35" t="s">
        <v>16</v>
      </c>
    </row>
    <row r="36" spans="1:7" x14ac:dyDescent="0.3">
      <c r="A36" t="s">
        <v>52</v>
      </c>
      <c r="B36" t="s">
        <v>34</v>
      </c>
      <c r="C36" t="s">
        <v>22</v>
      </c>
      <c r="D36">
        <v>4</v>
      </c>
      <c r="E36">
        <v>99.15</v>
      </c>
      <c r="F36">
        <v>396.6</v>
      </c>
      <c r="G36" t="s">
        <v>26</v>
      </c>
    </row>
    <row r="37" spans="1:7" x14ac:dyDescent="0.3">
      <c r="A37" t="s">
        <v>53</v>
      </c>
      <c r="B37" t="s">
        <v>24</v>
      </c>
      <c r="C37" t="s">
        <v>13</v>
      </c>
      <c r="D37">
        <v>3</v>
      </c>
      <c r="E37">
        <v>40.64</v>
      </c>
      <c r="F37">
        <v>121.92</v>
      </c>
      <c r="G37" t="s">
        <v>10</v>
      </c>
    </row>
    <row r="38" spans="1:7" x14ac:dyDescent="0.3">
      <c r="A38" t="s">
        <v>54</v>
      </c>
      <c r="B38" t="s">
        <v>24</v>
      </c>
      <c r="C38" t="s">
        <v>13</v>
      </c>
      <c r="D38">
        <v>3</v>
      </c>
      <c r="E38">
        <v>46.11</v>
      </c>
      <c r="F38">
        <v>138.33000000000001</v>
      </c>
      <c r="G38" t="s">
        <v>16</v>
      </c>
    </row>
    <row r="39" spans="1:7" x14ac:dyDescent="0.3">
      <c r="A39" t="s">
        <v>55</v>
      </c>
      <c r="B39" t="s">
        <v>29</v>
      </c>
      <c r="C39" t="s">
        <v>22</v>
      </c>
      <c r="D39">
        <v>4</v>
      </c>
      <c r="E39">
        <v>27.26</v>
      </c>
      <c r="F39">
        <v>109.04</v>
      </c>
      <c r="G39" t="s">
        <v>19</v>
      </c>
    </row>
    <row r="40" spans="1:7" x14ac:dyDescent="0.3">
      <c r="A40" t="s">
        <v>50</v>
      </c>
      <c r="B40" t="s">
        <v>24</v>
      </c>
      <c r="C40" t="s">
        <v>13</v>
      </c>
      <c r="D40">
        <v>2</v>
      </c>
      <c r="E40">
        <v>42.29</v>
      </c>
      <c r="F40">
        <v>84.58</v>
      </c>
      <c r="G40" t="s">
        <v>26</v>
      </c>
    </row>
    <row r="41" spans="1:7" x14ac:dyDescent="0.3">
      <c r="A41" t="s">
        <v>56</v>
      </c>
      <c r="B41" t="s">
        <v>27</v>
      </c>
      <c r="C41" t="s">
        <v>22</v>
      </c>
      <c r="D41">
        <v>5</v>
      </c>
      <c r="E41">
        <v>1220.0899999999999</v>
      </c>
      <c r="F41">
        <v>6100.45</v>
      </c>
      <c r="G41" t="s">
        <v>26</v>
      </c>
    </row>
    <row r="42" spans="1:7" x14ac:dyDescent="0.3">
      <c r="A42" t="s">
        <v>57</v>
      </c>
      <c r="B42" t="s">
        <v>29</v>
      </c>
      <c r="C42" t="s">
        <v>22</v>
      </c>
      <c r="D42">
        <v>2</v>
      </c>
      <c r="E42">
        <v>23.93</v>
      </c>
      <c r="F42">
        <v>47.86</v>
      </c>
      <c r="G42" t="s">
        <v>26</v>
      </c>
    </row>
    <row r="43" spans="1:7" x14ac:dyDescent="0.3">
      <c r="A43" t="s">
        <v>58</v>
      </c>
      <c r="B43" t="s">
        <v>31</v>
      </c>
      <c r="C43" t="s">
        <v>9</v>
      </c>
      <c r="D43">
        <v>1</v>
      </c>
      <c r="E43">
        <v>70.08</v>
      </c>
      <c r="F43">
        <v>70.08</v>
      </c>
      <c r="G43" t="s">
        <v>26</v>
      </c>
    </row>
    <row r="44" spans="1:7" x14ac:dyDescent="0.3">
      <c r="A44" t="s">
        <v>53</v>
      </c>
      <c r="B44" t="s">
        <v>24</v>
      </c>
      <c r="C44" t="s">
        <v>13</v>
      </c>
      <c r="D44">
        <v>4</v>
      </c>
      <c r="E44">
        <v>47.8</v>
      </c>
      <c r="F44">
        <v>191.2</v>
      </c>
      <c r="G44" t="s">
        <v>26</v>
      </c>
    </row>
    <row r="45" spans="1:7" x14ac:dyDescent="0.3">
      <c r="A45" t="s">
        <v>59</v>
      </c>
      <c r="B45" t="s">
        <v>34</v>
      </c>
      <c r="C45" t="s">
        <v>22</v>
      </c>
      <c r="D45">
        <v>3</v>
      </c>
      <c r="E45">
        <v>96.23</v>
      </c>
      <c r="F45">
        <v>288.69</v>
      </c>
      <c r="G45" t="s">
        <v>14</v>
      </c>
    </row>
    <row r="46" spans="1:7" x14ac:dyDescent="0.3">
      <c r="A46" t="s">
        <v>60</v>
      </c>
      <c r="B46" t="s">
        <v>27</v>
      </c>
      <c r="C46" t="s">
        <v>22</v>
      </c>
      <c r="D46">
        <v>4</v>
      </c>
      <c r="E46">
        <v>1179.49</v>
      </c>
      <c r="F46">
        <v>4717.96</v>
      </c>
      <c r="G46" t="s">
        <v>19</v>
      </c>
    </row>
    <row r="47" spans="1:7" x14ac:dyDescent="0.3">
      <c r="A47" t="s">
        <v>60</v>
      </c>
      <c r="B47" t="s">
        <v>18</v>
      </c>
      <c r="C47" t="s">
        <v>13</v>
      </c>
      <c r="D47">
        <v>2</v>
      </c>
      <c r="E47">
        <v>384.73</v>
      </c>
      <c r="F47">
        <v>769.46</v>
      </c>
      <c r="G47" t="s">
        <v>26</v>
      </c>
    </row>
    <row r="48" spans="1:7" x14ac:dyDescent="0.3">
      <c r="A48" t="s">
        <v>61</v>
      </c>
      <c r="B48" t="s">
        <v>27</v>
      </c>
      <c r="C48" t="s">
        <v>22</v>
      </c>
      <c r="D48">
        <v>5</v>
      </c>
      <c r="E48">
        <v>1295.2</v>
      </c>
      <c r="F48">
        <v>6476</v>
      </c>
      <c r="G48" t="s">
        <v>14</v>
      </c>
    </row>
    <row r="49" spans="1:7" x14ac:dyDescent="0.3">
      <c r="A49" t="s">
        <v>62</v>
      </c>
      <c r="B49" t="s">
        <v>8</v>
      </c>
      <c r="C49" t="s">
        <v>9</v>
      </c>
      <c r="D49">
        <v>3</v>
      </c>
      <c r="E49">
        <v>23.78</v>
      </c>
      <c r="F49">
        <v>71.34</v>
      </c>
      <c r="G49" t="s">
        <v>16</v>
      </c>
    </row>
    <row r="50" spans="1:7" x14ac:dyDescent="0.3">
      <c r="A50" t="s">
        <v>63</v>
      </c>
      <c r="B50" t="s">
        <v>29</v>
      </c>
      <c r="C50" t="s">
        <v>22</v>
      </c>
      <c r="D50">
        <v>4</v>
      </c>
      <c r="E50">
        <v>26.29</v>
      </c>
      <c r="F50">
        <v>105.16</v>
      </c>
      <c r="G50" t="s">
        <v>10</v>
      </c>
    </row>
    <row r="51" spans="1:7" x14ac:dyDescent="0.3">
      <c r="A51" t="s">
        <v>64</v>
      </c>
      <c r="B51" t="s">
        <v>12</v>
      </c>
      <c r="C51" t="s">
        <v>13</v>
      </c>
      <c r="D51">
        <v>2</v>
      </c>
      <c r="E51">
        <v>479.32</v>
      </c>
      <c r="F51">
        <v>958.64</v>
      </c>
      <c r="G51" t="s">
        <v>26</v>
      </c>
    </row>
    <row r="52" spans="1:7" x14ac:dyDescent="0.3">
      <c r="A52" t="s">
        <v>65</v>
      </c>
      <c r="B52" t="s">
        <v>31</v>
      </c>
      <c r="C52" t="s">
        <v>9</v>
      </c>
      <c r="D52">
        <v>2</v>
      </c>
      <c r="E52">
        <v>58.62</v>
      </c>
      <c r="F52">
        <v>117.24</v>
      </c>
      <c r="G52" t="s">
        <v>26</v>
      </c>
    </row>
    <row r="53" spans="1:7" x14ac:dyDescent="0.3">
      <c r="A53" t="s">
        <v>66</v>
      </c>
      <c r="B53" t="s">
        <v>21</v>
      </c>
      <c r="C53" t="s">
        <v>22</v>
      </c>
      <c r="D53">
        <v>3</v>
      </c>
      <c r="E53">
        <v>290.62</v>
      </c>
      <c r="F53">
        <v>871.86</v>
      </c>
      <c r="G53" t="s">
        <v>26</v>
      </c>
    </row>
    <row r="54" spans="1:7" x14ac:dyDescent="0.3">
      <c r="A54" t="s">
        <v>67</v>
      </c>
      <c r="B54" t="s">
        <v>18</v>
      </c>
      <c r="C54" t="s">
        <v>13</v>
      </c>
      <c r="D54">
        <v>5</v>
      </c>
      <c r="E54">
        <v>382.96</v>
      </c>
      <c r="F54">
        <v>1914.8</v>
      </c>
      <c r="G54" t="s">
        <v>16</v>
      </c>
    </row>
    <row r="55" spans="1:7" x14ac:dyDescent="0.3">
      <c r="A55" t="s">
        <v>68</v>
      </c>
      <c r="B55" t="s">
        <v>8</v>
      </c>
      <c r="C55" t="s">
        <v>9</v>
      </c>
      <c r="D55">
        <v>5</v>
      </c>
      <c r="E55">
        <v>21.99</v>
      </c>
      <c r="F55">
        <v>109.95</v>
      </c>
      <c r="G55" t="s">
        <v>10</v>
      </c>
    </row>
    <row r="56" spans="1:7" x14ac:dyDescent="0.3">
      <c r="A56" t="s">
        <v>69</v>
      </c>
      <c r="B56" t="s">
        <v>29</v>
      </c>
      <c r="C56" t="s">
        <v>22</v>
      </c>
      <c r="D56">
        <v>2</v>
      </c>
      <c r="E56">
        <v>24.74</v>
      </c>
      <c r="F56">
        <v>49.48</v>
      </c>
      <c r="G56" t="s">
        <v>10</v>
      </c>
    </row>
    <row r="57" spans="1:7" x14ac:dyDescent="0.3">
      <c r="A57" t="s">
        <v>70</v>
      </c>
      <c r="B57" t="s">
        <v>24</v>
      </c>
      <c r="C57" t="s">
        <v>13</v>
      </c>
      <c r="D57">
        <v>5</v>
      </c>
      <c r="E57">
        <v>45.71</v>
      </c>
      <c r="F57">
        <v>228.55</v>
      </c>
      <c r="G57" t="s">
        <v>26</v>
      </c>
    </row>
    <row r="58" spans="1:7" x14ac:dyDescent="0.3">
      <c r="A58" t="s">
        <v>69</v>
      </c>
      <c r="B58" t="s">
        <v>18</v>
      </c>
      <c r="C58" t="s">
        <v>13</v>
      </c>
      <c r="D58">
        <v>3</v>
      </c>
      <c r="E58">
        <v>328.89</v>
      </c>
      <c r="F58">
        <v>986.67</v>
      </c>
      <c r="G58" t="s">
        <v>14</v>
      </c>
    </row>
    <row r="59" spans="1:7" x14ac:dyDescent="0.3">
      <c r="A59" t="s">
        <v>71</v>
      </c>
      <c r="B59" t="s">
        <v>29</v>
      </c>
      <c r="C59" t="s">
        <v>22</v>
      </c>
      <c r="D59">
        <v>4</v>
      </c>
      <c r="E59">
        <v>22.76</v>
      </c>
      <c r="F59">
        <v>91.04</v>
      </c>
      <c r="G59" t="s">
        <v>14</v>
      </c>
    </row>
    <row r="60" spans="1:7" x14ac:dyDescent="0.3">
      <c r="A60" t="s">
        <v>66</v>
      </c>
      <c r="B60" t="s">
        <v>21</v>
      </c>
      <c r="C60" t="s">
        <v>22</v>
      </c>
      <c r="D60">
        <v>1</v>
      </c>
      <c r="E60">
        <v>286.98</v>
      </c>
      <c r="F60">
        <v>286.98</v>
      </c>
      <c r="G60" t="s">
        <v>26</v>
      </c>
    </row>
    <row r="61" spans="1:7" x14ac:dyDescent="0.3">
      <c r="A61" t="s">
        <v>72</v>
      </c>
      <c r="B61" t="s">
        <v>8</v>
      </c>
      <c r="C61" t="s">
        <v>9</v>
      </c>
      <c r="D61">
        <v>5</v>
      </c>
      <c r="E61">
        <v>23.33</v>
      </c>
      <c r="F61">
        <v>116.65</v>
      </c>
      <c r="G61" t="s">
        <v>10</v>
      </c>
    </row>
    <row r="62" spans="1:7" x14ac:dyDescent="0.3">
      <c r="A62" t="s">
        <v>73</v>
      </c>
      <c r="B62" t="s">
        <v>27</v>
      </c>
      <c r="C62" t="s">
        <v>22</v>
      </c>
      <c r="D62">
        <v>1</v>
      </c>
      <c r="E62">
        <v>1172.07</v>
      </c>
      <c r="F62">
        <v>1172.07</v>
      </c>
      <c r="G62" t="s">
        <v>10</v>
      </c>
    </row>
    <row r="63" spans="1:7" x14ac:dyDescent="0.3">
      <c r="A63" t="s">
        <v>74</v>
      </c>
      <c r="B63" t="s">
        <v>34</v>
      </c>
      <c r="C63" t="s">
        <v>22</v>
      </c>
      <c r="D63">
        <v>3</v>
      </c>
      <c r="E63">
        <v>96.15</v>
      </c>
      <c r="F63">
        <v>288.45</v>
      </c>
      <c r="G63" t="s">
        <v>26</v>
      </c>
    </row>
    <row r="64" spans="1:7" x14ac:dyDescent="0.3">
      <c r="A64" t="s">
        <v>61</v>
      </c>
      <c r="B64" t="s">
        <v>8</v>
      </c>
      <c r="C64" t="s">
        <v>9</v>
      </c>
      <c r="D64">
        <v>4</v>
      </c>
      <c r="E64">
        <v>22.76</v>
      </c>
      <c r="F64">
        <v>91.04</v>
      </c>
      <c r="G64" t="s">
        <v>19</v>
      </c>
    </row>
    <row r="65" spans="1:7" x14ac:dyDescent="0.3">
      <c r="A65" t="s">
        <v>75</v>
      </c>
      <c r="B65" t="s">
        <v>8</v>
      </c>
      <c r="C65" t="s">
        <v>9</v>
      </c>
      <c r="D65">
        <v>1</v>
      </c>
      <c r="E65">
        <v>22.43</v>
      </c>
      <c r="F65">
        <v>22.43</v>
      </c>
      <c r="G65" t="s">
        <v>26</v>
      </c>
    </row>
    <row r="66" spans="1:7" x14ac:dyDescent="0.3">
      <c r="A66" t="s">
        <v>76</v>
      </c>
      <c r="B66" t="s">
        <v>34</v>
      </c>
      <c r="C66" t="s">
        <v>22</v>
      </c>
      <c r="D66">
        <v>2</v>
      </c>
      <c r="E66">
        <v>89.24</v>
      </c>
      <c r="F66">
        <v>178.48</v>
      </c>
      <c r="G66" t="s">
        <v>16</v>
      </c>
    </row>
    <row r="67" spans="1:7" x14ac:dyDescent="0.3">
      <c r="A67" t="s">
        <v>77</v>
      </c>
      <c r="B67" t="s">
        <v>24</v>
      </c>
      <c r="C67" t="s">
        <v>13</v>
      </c>
      <c r="D67">
        <v>2</v>
      </c>
      <c r="E67">
        <v>40.65</v>
      </c>
      <c r="F67">
        <v>81.3</v>
      </c>
      <c r="G67" t="s">
        <v>19</v>
      </c>
    </row>
    <row r="68" spans="1:7" x14ac:dyDescent="0.3">
      <c r="A68" t="s">
        <v>78</v>
      </c>
      <c r="B68" t="s">
        <v>18</v>
      </c>
      <c r="C68" t="s">
        <v>13</v>
      </c>
      <c r="D68">
        <v>1</v>
      </c>
      <c r="E68">
        <v>373.12</v>
      </c>
      <c r="F68">
        <v>373.12</v>
      </c>
      <c r="G68" t="s">
        <v>16</v>
      </c>
    </row>
    <row r="69" spans="1:7" x14ac:dyDescent="0.3">
      <c r="A69" t="s">
        <v>79</v>
      </c>
      <c r="B69" t="s">
        <v>12</v>
      </c>
      <c r="C69" t="s">
        <v>13</v>
      </c>
      <c r="D69">
        <v>4</v>
      </c>
      <c r="E69">
        <v>485.63</v>
      </c>
      <c r="F69">
        <v>1942.52</v>
      </c>
      <c r="G69" t="s">
        <v>10</v>
      </c>
    </row>
    <row r="70" spans="1:7" x14ac:dyDescent="0.3">
      <c r="A70" t="s">
        <v>80</v>
      </c>
      <c r="B70" t="s">
        <v>34</v>
      </c>
      <c r="C70" t="s">
        <v>22</v>
      </c>
      <c r="D70">
        <v>2</v>
      </c>
      <c r="E70">
        <v>102.99</v>
      </c>
      <c r="F70">
        <v>205.98</v>
      </c>
      <c r="G70" t="s">
        <v>14</v>
      </c>
    </row>
    <row r="71" spans="1:7" x14ac:dyDescent="0.3">
      <c r="A71" t="s">
        <v>81</v>
      </c>
      <c r="B71" t="s">
        <v>8</v>
      </c>
      <c r="C71" t="s">
        <v>9</v>
      </c>
      <c r="D71">
        <v>2</v>
      </c>
      <c r="E71">
        <v>22.87</v>
      </c>
      <c r="F71">
        <v>45.74</v>
      </c>
      <c r="G71" t="s">
        <v>19</v>
      </c>
    </row>
    <row r="72" spans="1:7" x14ac:dyDescent="0.3">
      <c r="A72" t="s">
        <v>82</v>
      </c>
      <c r="B72" t="s">
        <v>12</v>
      </c>
      <c r="C72" t="s">
        <v>13</v>
      </c>
      <c r="D72">
        <v>3</v>
      </c>
      <c r="E72">
        <v>430.59</v>
      </c>
      <c r="F72">
        <v>1291.77</v>
      </c>
      <c r="G72" t="s">
        <v>26</v>
      </c>
    </row>
    <row r="73" spans="1:7" x14ac:dyDescent="0.3">
      <c r="A73" t="s">
        <v>83</v>
      </c>
      <c r="B73" t="s">
        <v>8</v>
      </c>
      <c r="C73" t="s">
        <v>9</v>
      </c>
      <c r="D73">
        <v>1</v>
      </c>
      <c r="E73">
        <v>23.75</v>
      </c>
      <c r="F73">
        <v>23.75</v>
      </c>
      <c r="G73" t="s">
        <v>16</v>
      </c>
    </row>
    <row r="74" spans="1:7" x14ac:dyDescent="0.3">
      <c r="A74" t="s">
        <v>84</v>
      </c>
      <c r="B74" t="s">
        <v>31</v>
      </c>
      <c r="C74" t="s">
        <v>9</v>
      </c>
      <c r="D74">
        <v>3</v>
      </c>
      <c r="E74">
        <v>60.93</v>
      </c>
      <c r="F74">
        <v>182.79</v>
      </c>
      <c r="G74" t="s">
        <v>19</v>
      </c>
    </row>
    <row r="75" spans="1:7" x14ac:dyDescent="0.3">
      <c r="A75" t="s">
        <v>83</v>
      </c>
      <c r="B75" t="s">
        <v>21</v>
      </c>
      <c r="C75" t="s">
        <v>22</v>
      </c>
      <c r="D75">
        <v>4</v>
      </c>
      <c r="E75">
        <v>289.44</v>
      </c>
      <c r="F75">
        <v>1157.76</v>
      </c>
      <c r="G75" t="s">
        <v>14</v>
      </c>
    </row>
    <row r="76" spans="1:7" x14ac:dyDescent="0.3">
      <c r="A76" t="s">
        <v>85</v>
      </c>
      <c r="B76" t="s">
        <v>27</v>
      </c>
      <c r="C76" t="s">
        <v>22</v>
      </c>
      <c r="D76">
        <v>5</v>
      </c>
      <c r="E76">
        <v>1255.6199999999999</v>
      </c>
      <c r="F76">
        <v>6278.1</v>
      </c>
      <c r="G76" t="s">
        <v>10</v>
      </c>
    </row>
    <row r="77" spans="1:7" x14ac:dyDescent="0.3">
      <c r="A77" t="s">
        <v>75</v>
      </c>
      <c r="B77" t="s">
        <v>29</v>
      </c>
      <c r="C77" t="s">
        <v>22</v>
      </c>
      <c r="D77">
        <v>4</v>
      </c>
      <c r="E77">
        <v>23.47</v>
      </c>
      <c r="F77">
        <v>93.88</v>
      </c>
      <c r="G77" t="s">
        <v>10</v>
      </c>
    </row>
    <row r="78" spans="1:7" x14ac:dyDescent="0.3">
      <c r="A78" t="s">
        <v>80</v>
      </c>
      <c r="B78" t="s">
        <v>24</v>
      </c>
      <c r="C78" t="s">
        <v>13</v>
      </c>
      <c r="D78">
        <v>5</v>
      </c>
      <c r="E78">
        <v>45.71</v>
      </c>
      <c r="F78">
        <v>228.55</v>
      </c>
      <c r="G78" t="s">
        <v>10</v>
      </c>
    </row>
    <row r="79" spans="1:7" x14ac:dyDescent="0.3">
      <c r="A79" t="s">
        <v>86</v>
      </c>
      <c r="B79" t="s">
        <v>27</v>
      </c>
      <c r="C79" t="s">
        <v>22</v>
      </c>
      <c r="D79">
        <v>5</v>
      </c>
      <c r="E79">
        <v>1167.5</v>
      </c>
      <c r="F79">
        <v>5837.5</v>
      </c>
      <c r="G79" t="s">
        <v>26</v>
      </c>
    </row>
    <row r="80" spans="1:7" x14ac:dyDescent="0.3">
      <c r="A80" t="s">
        <v>87</v>
      </c>
      <c r="B80" t="s">
        <v>8</v>
      </c>
      <c r="C80" t="s">
        <v>9</v>
      </c>
      <c r="D80">
        <v>2</v>
      </c>
      <c r="E80">
        <v>21.48</v>
      </c>
      <c r="F80">
        <v>42.96</v>
      </c>
      <c r="G80" t="s">
        <v>19</v>
      </c>
    </row>
    <row r="81" spans="1:7" x14ac:dyDescent="0.3">
      <c r="A81" t="s">
        <v>88</v>
      </c>
      <c r="B81" t="s">
        <v>34</v>
      </c>
      <c r="C81" t="s">
        <v>22</v>
      </c>
      <c r="D81">
        <v>1</v>
      </c>
      <c r="E81">
        <v>90.9</v>
      </c>
      <c r="F81">
        <v>90.9</v>
      </c>
      <c r="G81" t="s">
        <v>10</v>
      </c>
    </row>
    <row r="82" spans="1:7" x14ac:dyDescent="0.3">
      <c r="A82" t="s">
        <v>87</v>
      </c>
      <c r="B82" t="s">
        <v>34</v>
      </c>
      <c r="C82" t="s">
        <v>22</v>
      </c>
      <c r="D82">
        <v>1</v>
      </c>
      <c r="E82">
        <v>86.1</v>
      </c>
      <c r="F82">
        <v>86.1</v>
      </c>
      <c r="G82" t="s">
        <v>14</v>
      </c>
    </row>
    <row r="83" spans="1:7" x14ac:dyDescent="0.3">
      <c r="A83" t="s">
        <v>89</v>
      </c>
      <c r="B83" t="s">
        <v>31</v>
      </c>
      <c r="C83" t="s">
        <v>9</v>
      </c>
      <c r="D83">
        <v>3</v>
      </c>
      <c r="E83">
        <v>58.74</v>
      </c>
      <c r="F83">
        <v>176.22</v>
      </c>
      <c r="G83" t="s">
        <v>14</v>
      </c>
    </row>
    <row r="84" spans="1:7" x14ac:dyDescent="0.3">
      <c r="A84" t="s">
        <v>88</v>
      </c>
      <c r="B84" t="s">
        <v>12</v>
      </c>
      <c r="C84" t="s">
        <v>13</v>
      </c>
      <c r="D84">
        <v>3</v>
      </c>
      <c r="E84">
        <v>485.17</v>
      </c>
      <c r="F84">
        <v>1455.51</v>
      </c>
      <c r="G84" t="s">
        <v>26</v>
      </c>
    </row>
    <row r="85" spans="1:7" x14ac:dyDescent="0.3">
      <c r="A85" t="s">
        <v>87</v>
      </c>
      <c r="B85" t="s">
        <v>31</v>
      </c>
      <c r="C85" t="s">
        <v>9</v>
      </c>
      <c r="D85">
        <v>5</v>
      </c>
      <c r="E85">
        <v>63.82</v>
      </c>
      <c r="F85">
        <v>319.10000000000002</v>
      </c>
      <c r="G85" t="s">
        <v>19</v>
      </c>
    </row>
    <row r="86" spans="1:7" x14ac:dyDescent="0.3">
      <c r="A86" t="s">
        <v>90</v>
      </c>
      <c r="B86" t="s">
        <v>21</v>
      </c>
      <c r="C86" t="s">
        <v>22</v>
      </c>
      <c r="D86">
        <v>2</v>
      </c>
      <c r="E86">
        <v>269.04000000000002</v>
      </c>
      <c r="F86">
        <v>538.08000000000004</v>
      </c>
      <c r="G86" t="s">
        <v>26</v>
      </c>
    </row>
    <row r="87" spans="1:7" x14ac:dyDescent="0.3">
      <c r="A87" t="s">
        <v>91</v>
      </c>
      <c r="B87" t="s">
        <v>31</v>
      </c>
      <c r="C87" t="s">
        <v>9</v>
      </c>
      <c r="D87">
        <v>2</v>
      </c>
      <c r="E87">
        <v>59.32</v>
      </c>
      <c r="F87">
        <v>118.64</v>
      </c>
      <c r="G87" t="s">
        <v>14</v>
      </c>
    </row>
    <row r="88" spans="1:7" x14ac:dyDescent="0.3">
      <c r="A88" t="s">
        <v>92</v>
      </c>
      <c r="B88" t="s">
        <v>21</v>
      </c>
      <c r="C88" t="s">
        <v>22</v>
      </c>
      <c r="D88">
        <v>3</v>
      </c>
      <c r="E88">
        <v>259.77999999999997</v>
      </c>
      <c r="F88">
        <v>779.34</v>
      </c>
      <c r="G88" t="s">
        <v>19</v>
      </c>
    </row>
    <row r="89" spans="1:7" x14ac:dyDescent="0.3">
      <c r="A89" t="s">
        <v>93</v>
      </c>
      <c r="B89" t="s">
        <v>24</v>
      </c>
      <c r="C89" t="s">
        <v>13</v>
      </c>
      <c r="D89">
        <v>1</v>
      </c>
      <c r="E89">
        <v>44.23</v>
      </c>
      <c r="F89">
        <v>44.23</v>
      </c>
      <c r="G89" t="s">
        <v>26</v>
      </c>
    </row>
    <row r="90" spans="1:7" x14ac:dyDescent="0.3">
      <c r="A90" t="s">
        <v>94</v>
      </c>
      <c r="B90" t="s">
        <v>18</v>
      </c>
      <c r="C90" t="s">
        <v>13</v>
      </c>
      <c r="D90">
        <v>5</v>
      </c>
      <c r="E90">
        <v>315.89999999999998</v>
      </c>
      <c r="F90">
        <v>1579.5</v>
      </c>
      <c r="G90" t="s">
        <v>26</v>
      </c>
    </row>
    <row r="91" spans="1:7" x14ac:dyDescent="0.3">
      <c r="A91" t="s">
        <v>87</v>
      </c>
      <c r="B91" t="s">
        <v>41</v>
      </c>
      <c r="C91" t="s">
        <v>22</v>
      </c>
      <c r="D91">
        <v>1</v>
      </c>
      <c r="E91">
        <v>76.98</v>
      </c>
      <c r="F91">
        <v>76.98</v>
      </c>
      <c r="G91" t="s">
        <v>26</v>
      </c>
    </row>
    <row r="92" spans="1:7" x14ac:dyDescent="0.3">
      <c r="A92" t="s">
        <v>95</v>
      </c>
      <c r="B92" t="s">
        <v>21</v>
      </c>
      <c r="C92" t="s">
        <v>22</v>
      </c>
      <c r="D92">
        <v>2</v>
      </c>
      <c r="E92">
        <v>274.76</v>
      </c>
      <c r="F92">
        <v>549.52</v>
      </c>
      <c r="G92" t="s">
        <v>26</v>
      </c>
    </row>
    <row r="93" spans="1:7" x14ac:dyDescent="0.3">
      <c r="A93" t="s">
        <v>96</v>
      </c>
      <c r="B93" t="s">
        <v>21</v>
      </c>
      <c r="C93" t="s">
        <v>22</v>
      </c>
      <c r="D93">
        <v>2</v>
      </c>
      <c r="E93">
        <v>302.94</v>
      </c>
      <c r="F93">
        <v>605.88</v>
      </c>
      <c r="G93" t="s">
        <v>16</v>
      </c>
    </row>
    <row r="94" spans="1:7" x14ac:dyDescent="0.3">
      <c r="A94" t="s">
        <v>97</v>
      </c>
      <c r="B94" t="s">
        <v>21</v>
      </c>
      <c r="C94" t="s">
        <v>22</v>
      </c>
      <c r="D94">
        <v>3</v>
      </c>
      <c r="E94">
        <v>271.37</v>
      </c>
      <c r="F94">
        <v>814.11</v>
      </c>
      <c r="G94" t="s">
        <v>10</v>
      </c>
    </row>
    <row r="95" spans="1:7" x14ac:dyDescent="0.3">
      <c r="A95" t="s">
        <v>97</v>
      </c>
      <c r="B95" t="s">
        <v>27</v>
      </c>
      <c r="C95" t="s">
        <v>22</v>
      </c>
      <c r="D95">
        <v>2</v>
      </c>
      <c r="E95">
        <v>1254.04</v>
      </c>
      <c r="F95">
        <v>2508.08</v>
      </c>
      <c r="G95" t="s">
        <v>14</v>
      </c>
    </row>
    <row r="96" spans="1:7" x14ac:dyDescent="0.3">
      <c r="A96" t="s">
        <v>98</v>
      </c>
      <c r="B96" t="s">
        <v>24</v>
      </c>
      <c r="C96" t="s">
        <v>13</v>
      </c>
      <c r="D96">
        <v>5</v>
      </c>
      <c r="E96">
        <v>46.05</v>
      </c>
      <c r="F96">
        <v>230.25</v>
      </c>
      <c r="G9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A8" zoomScale="109" workbookViewId="0">
      <selection activeCell="D9" sqref="D9"/>
    </sheetView>
  </sheetViews>
  <sheetFormatPr baseColWidth="10" defaultColWidth="8.88671875" defaultRowHeight="14.4" x14ac:dyDescent="0.3"/>
  <cols>
    <col min="1" max="1" width="50" customWidth="1"/>
    <col min="2" max="4" width="18" customWidth="1"/>
  </cols>
  <sheetData>
    <row r="1" spans="1:5" ht="21" x14ac:dyDescent="0.4">
      <c r="A1" s="5" t="s">
        <v>99</v>
      </c>
      <c r="B1" s="6"/>
      <c r="C1" s="6"/>
      <c r="D1" s="6"/>
      <c r="E1" s="6"/>
    </row>
    <row r="3" spans="1:5" ht="15.6" x14ac:dyDescent="0.3">
      <c r="A3" s="10" t="s">
        <v>122</v>
      </c>
      <c r="B3" s="6"/>
      <c r="C3" s="6"/>
      <c r="D3" s="6"/>
      <c r="E3" s="6"/>
    </row>
    <row r="5" spans="1:5" x14ac:dyDescent="0.3">
      <c r="A5" s="13" t="s">
        <v>123</v>
      </c>
      <c r="B5" s="11" t="s">
        <v>124</v>
      </c>
      <c r="C5" s="11"/>
      <c r="D5" s="11"/>
      <c r="E5" s="11"/>
    </row>
    <row r="7" spans="1:5" x14ac:dyDescent="0.3">
      <c r="A7" s="12" t="s">
        <v>125</v>
      </c>
      <c r="B7" s="11"/>
      <c r="C7" s="11"/>
      <c r="D7" s="11"/>
      <c r="E7" s="11"/>
    </row>
    <row r="8" spans="1:5" x14ac:dyDescent="0.3">
      <c r="A8" s="14" t="s">
        <v>126</v>
      </c>
      <c r="B8" s="11" t="s">
        <v>127</v>
      </c>
      <c r="C8" s="11"/>
      <c r="D8" s="11"/>
      <c r="E8" s="11"/>
    </row>
    <row r="9" spans="1:5" x14ac:dyDescent="0.3">
      <c r="A9" s="14" t="s">
        <v>128</v>
      </c>
      <c r="B9" s="11" t="s">
        <v>129</v>
      </c>
      <c r="C9" s="11"/>
      <c r="D9" s="11"/>
      <c r="E9" s="11"/>
    </row>
    <row r="10" spans="1:5" x14ac:dyDescent="0.3">
      <c r="A10" s="14" t="s">
        <v>130</v>
      </c>
      <c r="B10" s="11" t="s">
        <v>131</v>
      </c>
      <c r="C10" s="11"/>
      <c r="D10" s="11"/>
      <c r="E10" s="11"/>
    </row>
    <row r="11" spans="1:5" x14ac:dyDescent="0.3">
      <c r="A11" s="14" t="s">
        <v>132</v>
      </c>
      <c r="B11" s="11" t="s">
        <v>133</v>
      </c>
      <c r="C11" s="11"/>
      <c r="D11" s="11"/>
      <c r="E11" s="11"/>
    </row>
    <row r="12" spans="1:5" x14ac:dyDescent="0.3">
      <c r="A12" s="14" t="s">
        <v>134</v>
      </c>
      <c r="B12" s="11" t="s">
        <v>135</v>
      </c>
      <c r="C12" s="11"/>
      <c r="D12" s="11"/>
      <c r="E12" s="11"/>
    </row>
    <row r="13" spans="1:5" ht="15.6" x14ac:dyDescent="0.3">
      <c r="A13" s="15"/>
    </row>
    <row r="14" spans="1:5" ht="15.6" x14ac:dyDescent="0.3">
      <c r="A14" s="16" t="s">
        <v>136</v>
      </c>
      <c r="B14" s="6"/>
      <c r="C14" s="6"/>
      <c r="D14" s="6"/>
      <c r="E14" s="6"/>
    </row>
    <row r="15" spans="1:5" x14ac:dyDescent="0.3">
      <c r="A15" s="11"/>
      <c r="B15" s="11"/>
      <c r="C15" s="11"/>
      <c r="D15" s="11"/>
      <c r="E15" s="11"/>
    </row>
    <row r="16" spans="1:5" x14ac:dyDescent="0.3">
      <c r="A16" s="19" t="s">
        <v>123</v>
      </c>
      <c r="B16" s="17" t="s">
        <v>137</v>
      </c>
      <c r="C16" s="17"/>
      <c r="D16" s="17"/>
      <c r="E16" s="17"/>
    </row>
    <row r="17" spans="1:5" x14ac:dyDescent="0.3">
      <c r="A17" s="11"/>
      <c r="B17" s="11"/>
      <c r="C17" s="11"/>
      <c r="D17" s="11"/>
      <c r="E17" s="11"/>
    </row>
    <row r="18" spans="1:5" x14ac:dyDescent="0.3">
      <c r="A18" s="18" t="s">
        <v>125</v>
      </c>
      <c r="B18" s="17"/>
      <c r="C18" s="17"/>
      <c r="D18" s="17"/>
      <c r="E18" s="17"/>
    </row>
    <row r="19" spans="1:5" x14ac:dyDescent="0.3">
      <c r="A19" s="20" t="s">
        <v>138</v>
      </c>
      <c r="B19" s="17" t="s">
        <v>139</v>
      </c>
      <c r="C19" s="17"/>
      <c r="D19" s="17"/>
      <c r="E19" s="17"/>
    </row>
    <row r="20" spans="1:5" x14ac:dyDescent="0.3">
      <c r="A20" s="20" t="s">
        <v>140</v>
      </c>
      <c r="B20" s="17" t="s">
        <v>141</v>
      </c>
      <c r="C20" s="17"/>
      <c r="D20" s="17"/>
      <c r="E20" s="17"/>
    </row>
    <row r="21" spans="1:5" x14ac:dyDescent="0.3">
      <c r="A21" s="20" t="s">
        <v>142</v>
      </c>
      <c r="B21" s="17" t="s">
        <v>143</v>
      </c>
      <c r="C21" s="17"/>
      <c r="D21" s="17"/>
      <c r="E21" s="17"/>
    </row>
    <row r="22" spans="1:5" x14ac:dyDescent="0.3">
      <c r="A22" s="20" t="s">
        <v>144</v>
      </c>
      <c r="B22" s="17" t="s">
        <v>145</v>
      </c>
      <c r="C22" s="17"/>
      <c r="D22" s="17"/>
      <c r="E22" s="17"/>
    </row>
    <row r="23" spans="1:5" x14ac:dyDescent="0.3">
      <c r="A23" s="20" t="s">
        <v>146</v>
      </c>
      <c r="B23" s="17" t="s">
        <v>147</v>
      </c>
      <c r="C23" s="17"/>
      <c r="D23" s="17"/>
      <c r="E23" s="17"/>
    </row>
    <row r="24" spans="1:5" x14ac:dyDescent="0.3">
      <c r="A24" s="2"/>
    </row>
    <row r="25" spans="1:5" x14ac:dyDescent="0.3">
      <c r="A25" s="2"/>
    </row>
    <row r="26" spans="1:5" x14ac:dyDescent="0.3">
      <c r="A26" s="2"/>
    </row>
  </sheetData>
  <mergeCells count="3">
    <mergeCell ref="A1:E1"/>
    <mergeCell ref="A3:E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tabSelected="1" topLeftCell="A2" zoomScale="125" workbookViewId="0">
      <selection activeCell="B19" sqref="B19"/>
    </sheetView>
  </sheetViews>
  <sheetFormatPr baseColWidth="10" defaultColWidth="8.88671875" defaultRowHeight="14.4" x14ac:dyDescent="0.3"/>
  <cols>
    <col min="1" max="1" width="25" customWidth="1"/>
    <col min="2" max="2" width="70" customWidth="1"/>
  </cols>
  <sheetData>
    <row r="1" spans="1:2" ht="21" x14ac:dyDescent="0.4">
      <c r="A1" s="7" t="s">
        <v>100</v>
      </c>
      <c r="B1" s="6"/>
    </row>
    <row r="2" spans="1:2" x14ac:dyDescent="0.3">
      <c r="B2" s="2"/>
    </row>
    <row r="3" spans="1:2" x14ac:dyDescent="0.3">
      <c r="A3" s="3" t="s">
        <v>101</v>
      </c>
      <c r="B3" s="21" t="s">
        <v>102</v>
      </c>
    </row>
    <row r="4" spans="1:2" x14ac:dyDescent="0.3">
      <c r="B4" s="2"/>
    </row>
    <row r="5" spans="1:2" x14ac:dyDescent="0.3">
      <c r="A5" s="3" t="s">
        <v>103</v>
      </c>
      <c r="B5" t="s">
        <v>124</v>
      </c>
    </row>
    <row r="6" spans="1:2" x14ac:dyDescent="0.3">
      <c r="B6" s="2"/>
    </row>
    <row r="7" spans="1:2" x14ac:dyDescent="0.3">
      <c r="A7" s="3" t="s">
        <v>104</v>
      </c>
      <c r="B7" s="22" t="s">
        <v>105</v>
      </c>
    </row>
    <row r="8" spans="1:2" x14ac:dyDescent="0.3">
      <c r="B8" s="22" t="s">
        <v>106</v>
      </c>
    </row>
    <row r="9" spans="1:2" x14ac:dyDescent="0.3">
      <c r="B9" s="22" t="s">
        <v>107</v>
      </c>
    </row>
    <row r="10" spans="1:2" x14ac:dyDescent="0.3">
      <c r="B10" s="2"/>
    </row>
    <row r="11" spans="1:2" x14ac:dyDescent="0.3">
      <c r="A11" s="3" t="s">
        <v>108</v>
      </c>
      <c r="B11" s="23" t="s">
        <v>148</v>
      </c>
    </row>
    <row r="12" spans="1:2" x14ac:dyDescent="0.3">
      <c r="B12" s="23" t="s">
        <v>149</v>
      </c>
    </row>
    <row r="13" spans="1:2" x14ac:dyDescent="0.3">
      <c r="B13" s="2"/>
    </row>
    <row r="14" spans="1:2" x14ac:dyDescent="0.3">
      <c r="A14" s="3" t="s">
        <v>109</v>
      </c>
      <c r="B14" s="24" t="s">
        <v>110</v>
      </c>
    </row>
    <row r="15" spans="1:2" x14ac:dyDescent="0.3">
      <c r="B15" s="24" t="s">
        <v>111</v>
      </c>
    </row>
    <row r="16" spans="1:2" x14ac:dyDescent="0.3">
      <c r="B16" s="24" t="s">
        <v>112</v>
      </c>
    </row>
    <row r="17" spans="1:2" x14ac:dyDescent="0.3">
      <c r="B17" s="2"/>
    </row>
    <row r="18" spans="1:2" x14ac:dyDescent="0.3">
      <c r="A18" s="3" t="s">
        <v>113</v>
      </c>
      <c r="B18" s="25" t="s">
        <v>114</v>
      </c>
    </row>
    <row r="19" spans="1:2" x14ac:dyDescent="0.3">
      <c r="B19" s="25" t="s">
        <v>115</v>
      </c>
    </row>
    <row r="20" spans="1:2" x14ac:dyDescent="0.3">
      <c r="B20" s="25" t="s">
        <v>116</v>
      </c>
    </row>
    <row r="21" spans="1:2" x14ac:dyDescent="0.3">
      <c r="B21" s="2"/>
    </row>
    <row r="22" spans="1:2" x14ac:dyDescent="0.3">
      <c r="B22" s="2"/>
    </row>
    <row r="23" spans="1:2" x14ac:dyDescent="0.3">
      <c r="B23" s="2"/>
    </row>
    <row r="24" spans="1:2" x14ac:dyDescent="0.3">
      <c r="B24" s="2"/>
    </row>
    <row r="25" spans="1:2" x14ac:dyDescent="0.3">
      <c r="B25" s="2"/>
    </row>
    <row r="29" spans="1:2" x14ac:dyDescent="0.3">
      <c r="B29" s="2"/>
    </row>
    <row r="30" spans="1:2" x14ac:dyDescent="0.3">
      <c r="B30" s="2"/>
    </row>
    <row r="31" spans="1:2" x14ac:dyDescent="0.3">
      <c r="B31" s="2"/>
    </row>
    <row r="32" spans="1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950D-B7B7-4F3D-873F-464155271FD7}">
  <dimension ref="A2:G7"/>
  <sheetViews>
    <sheetView workbookViewId="0">
      <selection activeCell="F7" sqref="F7"/>
    </sheetView>
  </sheetViews>
  <sheetFormatPr baseColWidth="10" defaultColWidth="8.88671875" defaultRowHeight="14.4" x14ac:dyDescent="0.3"/>
  <cols>
    <col min="1" max="1" width="27.5546875" bestFit="1" customWidth="1"/>
    <col min="2" max="6" width="12.88671875" bestFit="1" customWidth="1"/>
    <col min="7" max="7" width="13" bestFit="1" customWidth="1"/>
  </cols>
  <sheetData>
    <row r="2" spans="1:7" x14ac:dyDescent="0.3">
      <c r="A2" s="4" t="s">
        <v>117</v>
      </c>
      <c r="B2" s="4" t="s">
        <v>6</v>
      </c>
    </row>
    <row r="3" spans="1:7" x14ac:dyDescent="0.3">
      <c r="A3" s="4" t="s">
        <v>2</v>
      </c>
      <c r="B3" t="s">
        <v>14</v>
      </c>
      <c r="C3" t="s">
        <v>26</v>
      </c>
      <c r="D3" t="s">
        <v>19</v>
      </c>
      <c r="E3" t="s">
        <v>10</v>
      </c>
      <c r="F3" t="s">
        <v>16</v>
      </c>
      <c r="G3" t="s">
        <v>118</v>
      </c>
    </row>
    <row r="4" spans="1:7" x14ac:dyDescent="0.3">
      <c r="A4" t="s">
        <v>22</v>
      </c>
      <c r="B4" s="9">
        <v>451.69846153846152</v>
      </c>
      <c r="C4" s="9">
        <v>431.7475</v>
      </c>
      <c r="D4" s="9">
        <v>639.18249999999989</v>
      </c>
      <c r="E4" s="9">
        <v>384.33111111111106</v>
      </c>
      <c r="F4" s="9">
        <v>263.83499999999998</v>
      </c>
      <c r="G4" s="9">
        <v>416.94434782608687</v>
      </c>
    </row>
    <row r="5" spans="1:7" x14ac:dyDescent="0.3">
      <c r="A5" t="s">
        <v>13</v>
      </c>
      <c r="B5" s="9">
        <v>409.91666666666669</v>
      </c>
      <c r="C5" s="9">
        <v>252.86</v>
      </c>
      <c r="D5" s="9">
        <v>267.01500000000004</v>
      </c>
      <c r="E5" s="9">
        <v>247.97</v>
      </c>
      <c r="F5" s="9">
        <v>228.81500000000003</v>
      </c>
      <c r="G5" s="9">
        <v>266.86964285714288</v>
      </c>
    </row>
    <row r="6" spans="1:7" x14ac:dyDescent="0.3">
      <c r="A6" t="s">
        <v>9</v>
      </c>
      <c r="B6" s="9">
        <v>62.50333333333333</v>
      </c>
      <c r="C6" s="9">
        <v>50.376666666666665</v>
      </c>
      <c r="D6" s="9">
        <v>40.611428571428576</v>
      </c>
      <c r="E6" s="9">
        <v>31.268000000000008</v>
      </c>
      <c r="F6" s="9">
        <v>37.56</v>
      </c>
      <c r="G6" s="9">
        <v>42.473333333333343</v>
      </c>
    </row>
    <row r="7" spans="1:7" x14ac:dyDescent="0.3">
      <c r="A7" t="s">
        <v>118</v>
      </c>
      <c r="B7" s="9">
        <v>383.64947368421059</v>
      </c>
      <c r="C7" s="9">
        <v>316.99333333333328</v>
      </c>
      <c r="D7" s="9">
        <v>261.35882352941178</v>
      </c>
      <c r="E7" s="9">
        <v>255.95555555555555</v>
      </c>
      <c r="F7" s="9">
        <v>211.54411764705878</v>
      </c>
      <c r="G7" s="9">
        <v>289.93399999999997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2B11-D22B-4A0A-B69F-E326A2DD0E5D}">
  <dimension ref="A1:E9"/>
  <sheetViews>
    <sheetView zoomScale="80" workbookViewId="0">
      <selection activeCell="H8" sqref="H8"/>
    </sheetView>
  </sheetViews>
  <sheetFormatPr baseColWidth="10" defaultRowHeight="14.4" x14ac:dyDescent="0.3"/>
  <cols>
    <col min="2" max="2" width="13.109375" customWidth="1"/>
    <col min="3" max="3" width="22.109375" customWidth="1"/>
    <col min="4" max="4" width="37.21875" customWidth="1"/>
    <col min="5" max="5" width="38" customWidth="1"/>
  </cols>
  <sheetData>
    <row r="1" spans="1:5" x14ac:dyDescent="0.3">
      <c r="A1" t="s">
        <v>3</v>
      </c>
      <c r="B1" t="s">
        <v>5</v>
      </c>
      <c r="C1" t="s">
        <v>119</v>
      </c>
      <c r="D1" t="s">
        <v>120</v>
      </c>
      <c r="E1" t="s">
        <v>121</v>
      </c>
    </row>
    <row r="2" spans="1:5" x14ac:dyDescent="0.3">
      <c r="A2">
        <v>1</v>
      </c>
      <c r="B2">
        <v>289.1538888888889</v>
      </c>
    </row>
    <row r="3" spans="1:5" x14ac:dyDescent="0.3">
      <c r="A3">
        <v>2</v>
      </c>
      <c r="B3">
        <v>495.51416666666654</v>
      </c>
    </row>
    <row r="4" spans="1:5" x14ac:dyDescent="0.3">
      <c r="A4">
        <v>3</v>
      </c>
      <c r="B4">
        <v>705.43571428571443</v>
      </c>
    </row>
    <row r="5" spans="1:5" x14ac:dyDescent="0.3">
      <c r="A5">
        <v>4</v>
      </c>
      <c r="B5">
        <v>779.27000000000032</v>
      </c>
    </row>
    <row r="6" spans="1:5" x14ac:dyDescent="0.3">
      <c r="A6">
        <v>5</v>
      </c>
      <c r="B6">
        <v>2279.2325000000001</v>
      </c>
      <c r="C6">
        <v>2279.2325000000001</v>
      </c>
      <c r="D6" s="8">
        <v>2279.2325000000001</v>
      </c>
      <c r="E6" s="8">
        <v>2279.2325000000001</v>
      </c>
    </row>
    <row r="7" spans="1:5" x14ac:dyDescent="0.3">
      <c r="A7">
        <v>6</v>
      </c>
      <c r="C7">
        <f>_xlfn.FORECAST.ETS(A7,$B$2:$B$6,$A$2:$A$6,1,1)</f>
        <v>2335.9081334031184</v>
      </c>
      <c r="D7" s="8">
        <f>C7-_xlfn.FORECAST.ETS.CONFINT(A7,$B$2:$B$6,$A$2:$A$6,0.95,1,1)</f>
        <v>1457.0569586729425</v>
      </c>
      <c r="E7" s="8">
        <f>C7+_xlfn.FORECAST.ETS.CONFINT(A7,$B$2:$B$6,$A$2:$A$6,0.95,1,1)</f>
        <v>3214.7593081332943</v>
      </c>
    </row>
    <row r="8" spans="1:5" x14ac:dyDescent="0.3">
      <c r="A8">
        <v>7</v>
      </c>
      <c r="C8">
        <f>_xlfn.FORECAST.ETS(A8,$B$2:$B$6,$A$2:$A$6,1,1)</f>
        <v>2787.2066484607749</v>
      </c>
      <c r="D8" s="8">
        <f>C8-_xlfn.FORECAST.ETS.CONFINT(A8,$B$2:$B$6,$A$2:$A$6,0.95,1,1)</f>
        <v>1881.0940389549542</v>
      </c>
      <c r="E8" s="8">
        <f>C8+_xlfn.FORECAST.ETS.CONFINT(A8,$B$2:$B$6,$A$2:$A$6,0.95,1,1)</f>
        <v>3693.3192579665956</v>
      </c>
    </row>
    <row r="9" spans="1:5" x14ac:dyDescent="0.3">
      <c r="A9">
        <v>8</v>
      </c>
      <c r="C9">
        <f>_xlfn.FORECAST.ETS(A9,$B$2:$B$6,$A$2:$A$6,1,1)</f>
        <v>3238.5051635184318</v>
      </c>
      <c r="D9" s="8">
        <f>C9-_xlfn.FORECAST.ETS.CONFINT(A9,$B$2:$B$6,$A$2:$A$6,0.95,1,1)</f>
        <v>2305.7194208539604</v>
      </c>
      <c r="E9" s="8">
        <f>C9+_xlfn.FORECAST.ETS.CONFINT(A9,$B$2:$B$6,$A$2:$A$6,0.95,1,1)</f>
        <v>4171.2909061829032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Datos_Ventas</vt:lpstr>
      <vt:lpstr>Análisis_IA</vt:lpstr>
      <vt:lpstr>Documentación</vt:lpstr>
      <vt:lpstr>Promedio de precio unitario</vt:lpstr>
      <vt:lpstr>Grafica con 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</cp:lastModifiedBy>
  <cp:revision/>
  <dcterms:created xsi:type="dcterms:W3CDTF">2026-02-13T02:12:45Z</dcterms:created>
  <dcterms:modified xsi:type="dcterms:W3CDTF">2026-02-13T14:39:21Z</dcterms:modified>
  <cp:category/>
  <cp:contentStatus/>
</cp:coreProperties>
</file>